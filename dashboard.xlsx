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YUSH\Downloads\"/>
    </mc:Choice>
  </mc:AlternateContent>
  <xr:revisionPtr revIDLastSave="0" documentId="13_ncr:1_{C96065EF-E931-4B37-8E19-7DFFC15EC023}" xr6:coauthVersionLast="47" xr6:coauthVersionMax="47" xr10:uidLastSave="{00000000-0000-0000-0000-000000000000}"/>
  <bookViews>
    <workbookView xWindow="-110" yWindow="-110" windowWidth="19420" windowHeight="11500" firstSheet="2" activeTab="4" xr2:uid="{D24756BA-E990-473D-B1D2-125858BF14B2}"/>
  </bookViews>
  <sheets>
    <sheet name="Pivot Report" sheetId="1" r:id="rId1"/>
    <sheet name="Average wait time daily trend" sheetId="7" r:id="rId2"/>
    <sheet name="Satisfaction score daily trend" sheetId="8" r:id="rId3"/>
    <sheet name="Dashboard" sheetId="2" r:id="rId4"/>
    <sheet name="Daily ER No of patient" sheetId="6" r:id="rId5"/>
  </sheets>
  <definedNames>
    <definedName name="Slicer_Date__Month">#N/A</definedName>
    <definedName name="Slicer_Date__Year">#N/A</definedName>
  </definedNames>
  <calcPr calcId="191029"/>
  <pivotCaches>
    <pivotCache cacheId="3353" r:id="rId6"/>
    <pivotCache cacheId="3356" r:id="rId7"/>
    <pivotCache cacheId="3359" r:id="rId8"/>
    <pivotCache cacheId="3362" r:id="rId9"/>
    <pivotCache cacheId="3365" r:id="rId10"/>
    <pivotCache cacheId="3368" r:id="rId11"/>
    <pivotCache cacheId="3371" r:id="rId12"/>
    <pivotCache cacheId="3374" r:id="rId13"/>
    <pivotCache cacheId="3377" r:id="rId14"/>
    <pivotCache cacheId="3380" r:id="rId15"/>
    <pivotCache cacheId="3383" r:id="rId16"/>
    <pivotCache cacheId="3386" r:id="rId17"/>
  </pivotCaches>
  <extLst>
    <ext xmlns:x14="http://schemas.microsoft.com/office/spreadsheetml/2009/9/main" uri="{876F7934-8845-4945-9796-88D515C7AA90}">
      <x14:pivotCaches>
        <pivotCache cacheId="162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14dd2eb-22c0-471f-81de-674f5a25367a" name="Hospital Emergency Room Data" connection="Query - Hospital Emergency Room Data"/>
          <x15:modelTable id="calender_table_dcee305f-181f-464a-8e25-b042adaf83dd"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1" l="1"/>
  <c r="A46" i="1"/>
  <c r="C46" i="1"/>
  <c r="C47" i="1"/>
  <c r="B47" i="1"/>
  <c r="B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31DB0F-5940-46B1-AE40-06AD49B00BBF}" name="Query - calender_table" description="Connection to the 'calender_table' query in the workbook." type="100" refreshedVersion="8" minRefreshableVersion="5">
    <extLst>
      <ext xmlns:x15="http://schemas.microsoft.com/office/spreadsheetml/2010/11/main" uri="{DE250136-89BD-433C-8126-D09CA5730AF9}">
        <x15:connection id="27dd32db-408f-4d80-a1d6-bfa10e3d5b9a"/>
      </ext>
    </extLst>
  </connection>
  <connection id="2" xr16:uid="{2BA72E88-FD2A-440B-A748-C72C1B02CBF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b830b29-c603-4e6a-9f90-962e9ecb3864"/>
      </ext>
    </extLst>
  </connection>
  <connection id="3" xr16:uid="{40503989-1FDE-43E3-9ED8-2563AF4D8C9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<sst xmlns="http://schemas.openxmlformats.org/spreadsheetml/2006/main" count="150" uniqueCount="70">
  <si>
    <t>Distinct Count of Patient Id</t>
  </si>
  <si>
    <t>No. of Patient</t>
  </si>
  <si>
    <t>Average of Patient Waittime</t>
  </si>
  <si>
    <t>Average of Patient Satisfaction Score</t>
  </si>
  <si>
    <t>Male</t>
  </si>
  <si>
    <t>None</t>
  </si>
  <si>
    <t>Admitted</t>
  </si>
  <si>
    <t>60-69</t>
  </si>
  <si>
    <t>Delay</t>
  </si>
  <si>
    <t>70-79</t>
  </si>
  <si>
    <t>10-19</t>
  </si>
  <si>
    <t>Ontime</t>
  </si>
  <si>
    <t>40-49</t>
  </si>
  <si>
    <t>50-59</t>
  </si>
  <si>
    <t>20-29</t>
  </si>
  <si>
    <t>0-09</t>
  </si>
  <si>
    <t>30-39</t>
  </si>
  <si>
    <t>Female</t>
  </si>
  <si>
    <t>Not admitted</t>
  </si>
  <si>
    <t>Grand Total</t>
  </si>
  <si>
    <t>2024</t>
  </si>
  <si>
    <t>Row Labels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</si>
  <si>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</si>
  <si>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</si>
  <si>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</si>
  <si>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</si>
  <si>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</si>
  <si>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</si>
  <si>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</si>
  <si>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</si>
  <si>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</si>
  <si>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</si>
  <si>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</si>
  <si>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</si>
  <si>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</si>
  <si>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</si>
  <si>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</si>
  <si>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</si>
  <si>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</si>
  <si>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</si>
  <si>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</si>
  <si>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</si>
  <si>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</si>
  <si>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</si>
  <si>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</si>
  <si>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</si>
  <si>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</si>
  <si>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</si>
  <si>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</si>
  <si>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</si>
  <si>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</si>
  <si>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</si>
  <si>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</si>
  <si>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Sum of Patient Satisfaction Score</t>
  </si>
  <si>
    <t>Count of Patient Admission Flag</t>
  </si>
  <si>
    <t>Count of Patient Admission Flag2</t>
  </si>
  <si>
    <t>Admission Status</t>
  </si>
  <si>
    <t xml:space="preserve">%Status </t>
  </si>
  <si>
    <t>Patients</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</si>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</sst>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9"/>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2">
    <xf numFmtId="0" fontId="0" fillId="0" borderId="0" xfId="0"/>
    <xf numFmtId="2" fontId="0" fillId="0" borderId="0" xfId="0" applyNumberFormat="1"/>
    <xf numFmtId="0" fontId="0" fillId="2" borderId="0" xfId="0" applyFill="1"/>
    <xf numFmtId="0" fontId="0" fillId="0" borderId="0" xfId="0" pivotButton="1"/>
    <xf numFmtId="0" fontId="0" fillId="0" borderId="0" xfId="0" applyNumberFormat="1"/>
    <xf numFmtId="0" fontId="0" fillId="0" borderId="0" xfId="0" applyAlignment="1">
      <alignment horizontal="left"/>
    </xf>
    <xf numFmtId="10" fontId="0" fillId="0" borderId="0" xfId="0" applyNumberFormat="1"/>
    <xf numFmtId="0" fontId="0" fillId="3" borderId="0" xfId="0" applyFill="1"/>
    <xf numFmtId="0" fontId="1" fillId="3" borderId="0" xfId="0" applyFont="1" applyFill="1"/>
    <xf numFmtId="1" fontId="0" fillId="0" borderId="0" xfId="0" applyNumberFormat="1"/>
    <xf numFmtId="0" fontId="0" fillId="4" borderId="0" xfId="0" applyFill="1"/>
    <xf numFmtId="0" fontId="2" fillId="4" borderId="0" xfId="0" applyFont="1" applyFill="1"/>
  </cellXfs>
  <cellStyles count="1">
    <cellStyle name="Normal" xfId="0" builtinId="0"/>
  </cellStyles>
  <dxfs count="333">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
    </dxf>
    <dxf>
      <numFmt numFmtId="2" formatCode="0.00"/>
    </dxf>
    <dxf>
      <numFmt numFmtId="166" formatCode="0.00000"/>
    </dxf>
    <dxf>
      <numFmt numFmtId="2" formatCode="0.00"/>
    </dxf>
    <dxf>
      <numFmt numFmtId="2" formatCode="0.00"/>
    </dxf>
    <dxf>
      <numFmt numFmtId="2" formatCode="0.00"/>
    </dxf>
    <dxf>
      <font>
        <b/>
        <color theme="1"/>
      </font>
      <border>
        <bottom style="thin">
          <color theme="5"/>
        </bottom>
        <vertical/>
        <horizontal/>
      </border>
    </dxf>
    <dxf>
      <font>
        <strike val="0"/>
        <sz val="8"/>
        <color theme="1"/>
      </font>
      <fill>
        <patternFill>
          <bgColor theme="0"/>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166" formatCode="0.00000"/>
    </dxf>
    <dxf>
      <numFmt numFmtId="2" formatCode="0.00"/>
    </dxf>
    <dxf>
      <numFmt numFmtId="2" formatCode="0.00"/>
    </dxf>
    <dxf>
      <numFmt numFmtId="166" formatCode="0.0000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4" defaultTableStyle="TableStyleMedium2" defaultPivotStyle="PivotStyleLight16">
    <tableStyle name="My style" pivot="0" table="0" count="10" xr9:uid="{52305088-299F-433F-8363-16ACFA390CB9}">
      <tableStyleElement type="wholeTable" dxfId="313"/>
      <tableStyleElement type="headerRow" dxfId="312"/>
    </tableStyle>
    <tableStyle name="My style 2" pivot="0" table="0" count="10" xr9:uid="{7D3C6A5D-8158-4EEA-99EC-40CB3AAC435D}">
      <tableStyleElement type="wholeTable" dxfId="332"/>
      <tableStyleElement type="headerRow" dxfId="331"/>
    </tableStyle>
    <tableStyle name="My style 3" pivot="0" table="0" count="10" xr9:uid="{EDA1C4B1-F4F9-4EE5-B8DE-2BF4B6F61AEE}">
      <tableStyleElement type="wholeTable" dxfId="330"/>
      <tableStyleElement type="headerRow" dxfId="329"/>
    </tableStyle>
    <tableStyle name="SlicerStyleLight2 2" pivot="0" table="0" count="10" xr9:uid="{17F003F0-5B0D-405B-AF51-50B66B03F7BA}">
      <tableStyleElement type="wholeTable" dxfId="328"/>
      <tableStyleElement type="headerRow" dxfId="327"/>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 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C2A9B3-D459-461A-9504-D1E28D8A1AB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pivotFmt>
    </c:pivotFmts>
    <c:plotArea>
      <c:layout>
        <c:manualLayout>
          <c:layoutTarget val="inner"/>
          <c:xMode val="edge"/>
          <c:yMode val="edge"/>
          <c:x val="7.0748346456692909E-2"/>
          <c:y val="7.1155285917129205E-2"/>
          <c:w val="0.75687685914260716"/>
          <c:h val="0.8416746864975212"/>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cat>
            <c:strRef>
              <c:f>'Pivot Report'!$A$39:$A$41</c:f>
              <c:strCache>
                <c:ptCount val="2"/>
                <c:pt idx="0">
                  <c:v>Admitted</c:v>
                </c:pt>
                <c:pt idx="1">
                  <c:v>Not admitted</c:v>
                </c:pt>
              </c:strCache>
            </c:strRef>
          </c:cat>
          <c:val>
            <c:numRef>
              <c:f>'Pivot Report'!$B$39:$B$41</c:f>
              <c:numCache>
                <c:formatCode>0.00</c:formatCode>
                <c:ptCount val="2"/>
                <c:pt idx="0">
                  <c:v>266</c:v>
                </c:pt>
                <c:pt idx="1">
                  <c:v>222</c:v>
                </c:pt>
              </c:numCache>
            </c:numRef>
          </c:val>
          <c:extLst>
            <c:ext xmlns:c16="http://schemas.microsoft.com/office/drawing/2014/chart" uri="{C3380CC4-5D6E-409C-BE32-E72D297353CC}">
              <c16:uniqueId val="{00000007-D19F-485F-BF87-835039211ED6}"/>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0.54508196721311475</c:v>
                </c:pt>
                <c:pt idx="1">
                  <c:v>0.45491803278688525</c:v>
                </c:pt>
              </c:numCache>
            </c:numRef>
          </c:val>
          <c:extLst>
            <c:ext xmlns:c16="http://schemas.microsoft.com/office/drawing/2014/chart" uri="{C3380CC4-5D6E-409C-BE32-E72D297353CC}">
              <c16:uniqueId val="{00000008-D19F-485F-BF87-835039211ED6}"/>
            </c:ext>
          </c:extLst>
        </c:ser>
        <c:dLbls>
          <c:showLegendKey val="0"/>
          <c:showVal val="0"/>
          <c:showCatName val="0"/>
          <c:showSerName val="0"/>
          <c:showPercent val="0"/>
          <c:showBubbleSize val="0"/>
        </c:dLbls>
        <c:gapWidth val="0"/>
        <c:axId val="1568559999"/>
        <c:axId val="1568566239"/>
      </c:barChart>
      <c:catAx>
        <c:axId val="1568559999"/>
        <c:scaling>
          <c:orientation val="minMax"/>
        </c:scaling>
        <c:delete val="1"/>
        <c:axPos val="l"/>
        <c:numFmt formatCode="General" sourceLinked="1"/>
        <c:majorTickMark val="none"/>
        <c:minorTickMark val="none"/>
        <c:tickLblPos val="nextTo"/>
        <c:crossAx val="1568566239"/>
        <c:crosses val="autoZero"/>
        <c:auto val="1"/>
        <c:lblAlgn val="ctr"/>
        <c:lblOffset val="100"/>
        <c:noMultiLvlLbl val="0"/>
      </c:catAx>
      <c:valAx>
        <c:axId val="1568566239"/>
        <c:scaling>
          <c:orientation val="minMax"/>
        </c:scaling>
        <c:delete val="1"/>
        <c:axPos val="b"/>
        <c:numFmt formatCode="0.00" sourceLinked="1"/>
        <c:majorTickMark val="none"/>
        <c:minorTickMark val="none"/>
        <c:tickLblPos val="nextTo"/>
        <c:crossAx val="15685599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2-DE0C-4120-8E14-5304EC127CBB}"/>
            </c:ext>
          </c:extLst>
        </c:ser>
        <c:dLbls>
          <c:showLegendKey val="0"/>
          <c:showVal val="0"/>
          <c:showCatName val="0"/>
          <c:showSerName val="0"/>
          <c:showPercent val="0"/>
          <c:showBubbleSize val="0"/>
        </c:dLbls>
        <c:axId val="1346183375"/>
        <c:axId val="1346186255"/>
      </c:areaChart>
      <c:catAx>
        <c:axId val="1346183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86255"/>
        <c:crosses val="autoZero"/>
        <c:auto val="1"/>
        <c:lblAlgn val="ctr"/>
        <c:lblOffset val="100"/>
        <c:noMultiLvlLbl val="0"/>
      </c:catAx>
      <c:valAx>
        <c:axId val="13461862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83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33</c:v>
                </c:pt>
                <c:pt idx="1">
                  <c:v>16</c:v>
                </c:pt>
                <c:pt idx="2">
                  <c:v>19</c:v>
                </c:pt>
                <c:pt idx="3">
                  <c:v>8</c:v>
                </c:pt>
                <c:pt idx="4">
                  <c:v>32</c:v>
                </c:pt>
                <c:pt idx="5">
                  <c:v>7</c:v>
                </c:pt>
                <c:pt idx="6">
                  <c:v>14</c:v>
                </c:pt>
                <c:pt idx="7">
                  <c:v>28</c:v>
                </c:pt>
                <c:pt idx="8">
                  <c:v>32</c:v>
                </c:pt>
                <c:pt idx="9">
                  <c:v>14</c:v>
                </c:pt>
                <c:pt idx="10">
                  <c:v>39</c:v>
                </c:pt>
                <c:pt idx="11">
                  <c:v>37</c:v>
                </c:pt>
                <c:pt idx="12">
                  <c:v>13</c:v>
                </c:pt>
                <c:pt idx="13">
                  <c:v>15</c:v>
                </c:pt>
                <c:pt idx="14">
                  <c:v>13</c:v>
                </c:pt>
                <c:pt idx="15">
                  <c:v>10</c:v>
                </c:pt>
                <c:pt idx="16">
                  <c:v>18</c:v>
                </c:pt>
                <c:pt idx="17">
                  <c:v>15</c:v>
                </c:pt>
                <c:pt idx="18">
                  <c:v>25</c:v>
                </c:pt>
                <c:pt idx="19">
                  <c:v>30</c:v>
                </c:pt>
                <c:pt idx="20">
                  <c:v>14</c:v>
                </c:pt>
                <c:pt idx="21">
                  <c:v>15</c:v>
                </c:pt>
                <c:pt idx="22">
                  <c:v>13</c:v>
                </c:pt>
                <c:pt idx="23">
                  <c:v>14</c:v>
                </c:pt>
                <c:pt idx="24">
                  <c:v>18</c:v>
                </c:pt>
                <c:pt idx="25">
                  <c:v>6</c:v>
                </c:pt>
                <c:pt idx="26">
                  <c:v>62</c:v>
                </c:pt>
                <c:pt idx="27">
                  <c:v>46</c:v>
                </c:pt>
                <c:pt idx="28">
                  <c:v>41</c:v>
                </c:pt>
                <c:pt idx="29">
                  <c:v>25</c:v>
                </c:pt>
                <c:pt idx="30">
                  <c:v>27</c:v>
                </c:pt>
              </c:numCache>
            </c:numRef>
          </c:val>
          <c:extLst>
            <c:ext xmlns:c16="http://schemas.microsoft.com/office/drawing/2014/chart" uri="{C3380CC4-5D6E-409C-BE32-E72D297353CC}">
              <c16:uniqueId val="{00000002-B881-49F0-B4F0-4965F96C698E}"/>
            </c:ext>
          </c:extLst>
        </c:ser>
        <c:dLbls>
          <c:showLegendKey val="0"/>
          <c:showVal val="0"/>
          <c:showCatName val="0"/>
          <c:showSerName val="0"/>
          <c:showPercent val="0"/>
          <c:showBubbleSize val="0"/>
        </c:dLbls>
        <c:axId val="1744603295"/>
        <c:axId val="1744607135"/>
      </c:areaChart>
      <c:catAx>
        <c:axId val="174460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07135"/>
        <c:crosses val="autoZero"/>
        <c:auto val="1"/>
        <c:lblAlgn val="ctr"/>
        <c:lblOffset val="100"/>
        <c:noMultiLvlLbl val="0"/>
      </c:catAx>
      <c:valAx>
        <c:axId val="1744607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03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63522657050549E-2"/>
          <c:y val="0"/>
          <c:w val="0.85626363999030064"/>
          <c:h val="0.74361104744441908"/>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3-67F7-45A2-B145-4B0AD27251D3}"/>
            </c:ext>
          </c:extLst>
        </c:ser>
        <c:dLbls>
          <c:showLegendKey val="0"/>
          <c:showVal val="0"/>
          <c:showCatName val="0"/>
          <c:showSerName val="0"/>
          <c:showPercent val="0"/>
          <c:showBubbleSize val="0"/>
        </c:dLbls>
        <c:axId val="835307663"/>
        <c:axId val="835298543"/>
      </c:areaChart>
      <c:catAx>
        <c:axId val="835307663"/>
        <c:scaling>
          <c:orientation val="minMax"/>
        </c:scaling>
        <c:delete val="1"/>
        <c:axPos val="b"/>
        <c:numFmt formatCode="General" sourceLinked="1"/>
        <c:majorTickMark val="out"/>
        <c:minorTickMark val="none"/>
        <c:tickLblPos val="nextTo"/>
        <c:crossAx val="835298543"/>
        <c:crosses val="autoZero"/>
        <c:auto val="1"/>
        <c:lblAlgn val="ctr"/>
        <c:lblOffset val="100"/>
        <c:noMultiLvlLbl val="0"/>
      </c:catAx>
      <c:valAx>
        <c:axId val="835298543"/>
        <c:scaling>
          <c:orientation val="minMax"/>
        </c:scaling>
        <c:delete val="1"/>
        <c:axPos val="l"/>
        <c:numFmt formatCode="General" sourceLinked="1"/>
        <c:majorTickMark val="none"/>
        <c:minorTickMark val="none"/>
        <c:tickLblPos val="nextTo"/>
        <c:crossAx val="83530766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3-9B06-4C42-9395-CF2971C827E0}"/>
            </c:ext>
          </c:extLst>
        </c:ser>
        <c:dLbls>
          <c:showLegendKey val="0"/>
          <c:showVal val="0"/>
          <c:showCatName val="0"/>
          <c:showSerName val="0"/>
          <c:showPercent val="0"/>
          <c:showBubbleSize val="0"/>
        </c:dLbls>
        <c:axId val="1568661711"/>
        <c:axId val="1568664111"/>
      </c:areaChart>
      <c:catAx>
        <c:axId val="1568661711"/>
        <c:scaling>
          <c:orientation val="minMax"/>
        </c:scaling>
        <c:delete val="1"/>
        <c:axPos val="b"/>
        <c:numFmt formatCode="General" sourceLinked="1"/>
        <c:majorTickMark val="out"/>
        <c:minorTickMark val="none"/>
        <c:tickLblPos val="nextTo"/>
        <c:crossAx val="1568664111"/>
        <c:crosses val="autoZero"/>
        <c:auto val="1"/>
        <c:lblAlgn val="ctr"/>
        <c:lblOffset val="100"/>
        <c:noMultiLvlLbl val="0"/>
      </c:catAx>
      <c:valAx>
        <c:axId val="1568664111"/>
        <c:scaling>
          <c:orientation val="minMax"/>
        </c:scaling>
        <c:delete val="1"/>
        <c:axPos val="l"/>
        <c:numFmt formatCode="0.00" sourceLinked="1"/>
        <c:majorTickMark val="none"/>
        <c:minorTickMark val="none"/>
        <c:tickLblPos val="nextTo"/>
        <c:crossAx val="1568661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63901473772771E-2"/>
          <c:y val="0.11766231841091017"/>
          <c:w val="0.88007219705245443"/>
          <c:h val="0.66662343116908795"/>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33</c:v>
                </c:pt>
                <c:pt idx="1">
                  <c:v>16</c:v>
                </c:pt>
                <c:pt idx="2">
                  <c:v>19</c:v>
                </c:pt>
                <c:pt idx="3">
                  <c:v>8</c:v>
                </c:pt>
                <c:pt idx="4">
                  <c:v>32</c:v>
                </c:pt>
                <c:pt idx="5">
                  <c:v>7</c:v>
                </c:pt>
                <c:pt idx="6">
                  <c:v>14</c:v>
                </c:pt>
                <c:pt idx="7">
                  <c:v>28</c:v>
                </c:pt>
                <c:pt idx="8">
                  <c:v>32</c:v>
                </c:pt>
                <c:pt idx="9">
                  <c:v>14</c:v>
                </c:pt>
                <c:pt idx="10">
                  <c:v>39</c:v>
                </c:pt>
                <c:pt idx="11">
                  <c:v>37</c:v>
                </c:pt>
                <c:pt idx="12">
                  <c:v>13</c:v>
                </c:pt>
                <c:pt idx="13">
                  <c:v>15</c:v>
                </c:pt>
                <c:pt idx="14">
                  <c:v>13</c:v>
                </c:pt>
                <c:pt idx="15">
                  <c:v>10</c:v>
                </c:pt>
                <c:pt idx="16">
                  <c:v>18</c:v>
                </c:pt>
                <c:pt idx="17">
                  <c:v>15</c:v>
                </c:pt>
                <c:pt idx="18">
                  <c:v>25</c:v>
                </c:pt>
                <c:pt idx="19">
                  <c:v>30</c:v>
                </c:pt>
                <c:pt idx="20">
                  <c:v>14</c:v>
                </c:pt>
                <c:pt idx="21">
                  <c:v>15</c:v>
                </c:pt>
                <c:pt idx="22">
                  <c:v>13</c:v>
                </c:pt>
                <c:pt idx="23">
                  <c:v>14</c:v>
                </c:pt>
                <c:pt idx="24">
                  <c:v>18</c:v>
                </c:pt>
                <c:pt idx="25">
                  <c:v>6</c:v>
                </c:pt>
                <c:pt idx="26">
                  <c:v>62</c:v>
                </c:pt>
                <c:pt idx="27">
                  <c:v>46</c:v>
                </c:pt>
                <c:pt idx="28">
                  <c:v>41</c:v>
                </c:pt>
                <c:pt idx="29">
                  <c:v>25</c:v>
                </c:pt>
                <c:pt idx="30">
                  <c:v>27</c:v>
                </c:pt>
              </c:numCache>
            </c:numRef>
          </c:val>
          <c:extLst>
            <c:ext xmlns:c16="http://schemas.microsoft.com/office/drawing/2014/chart" uri="{C3380CC4-5D6E-409C-BE32-E72D297353CC}">
              <c16:uniqueId val="{00000003-9041-4E66-AF80-87BF9F13C80E}"/>
            </c:ext>
          </c:extLst>
        </c:ser>
        <c:dLbls>
          <c:showLegendKey val="0"/>
          <c:showVal val="0"/>
          <c:showCatName val="0"/>
          <c:showSerName val="0"/>
          <c:showPercent val="0"/>
          <c:showBubbleSize val="0"/>
        </c:dLbls>
        <c:axId val="1716283535"/>
        <c:axId val="1716280175"/>
      </c:areaChart>
      <c:catAx>
        <c:axId val="1716283535"/>
        <c:scaling>
          <c:orientation val="minMax"/>
        </c:scaling>
        <c:delete val="1"/>
        <c:axPos val="b"/>
        <c:numFmt formatCode="General" sourceLinked="1"/>
        <c:majorTickMark val="out"/>
        <c:minorTickMark val="none"/>
        <c:tickLblPos val="nextTo"/>
        <c:crossAx val="1716280175"/>
        <c:crosses val="autoZero"/>
        <c:auto val="1"/>
        <c:lblAlgn val="ctr"/>
        <c:lblOffset val="100"/>
        <c:noMultiLvlLbl val="0"/>
      </c:catAx>
      <c:valAx>
        <c:axId val="1716280175"/>
        <c:scaling>
          <c:orientation val="minMax"/>
        </c:scaling>
        <c:delete val="1"/>
        <c:axPos val="l"/>
        <c:numFmt formatCode="0.00" sourceLinked="1"/>
        <c:majorTickMark val="none"/>
        <c:minorTickMark val="none"/>
        <c:tickLblPos val="nextTo"/>
        <c:crossAx val="1716283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79197870586115E-2"/>
          <c:y val="3.5978390302265698E-2"/>
          <c:w val="0.91784160425882777"/>
          <c:h val="0.57787432871028332"/>
        </c:manualLayout>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3-BEE5-4C32-A3A6-CA5213433710}"/>
            </c:ext>
          </c:extLst>
        </c:ser>
        <c:dLbls>
          <c:showLegendKey val="0"/>
          <c:showVal val="0"/>
          <c:showCatName val="0"/>
          <c:showSerName val="0"/>
          <c:showPercent val="0"/>
          <c:showBubbleSize val="0"/>
        </c:dLbls>
        <c:gapWidth val="219"/>
        <c:overlap val="-27"/>
        <c:axId val="115925535"/>
        <c:axId val="115922175"/>
      </c:barChart>
      <c:catAx>
        <c:axId val="11592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2175"/>
        <c:crosses val="autoZero"/>
        <c:auto val="1"/>
        <c:lblAlgn val="ctr"/>
        <c:lblOffset val="100"/>
        <c:noMultiLvlLbl val="0"/>
      </c:catAx>
      <c:valAx>
        <c:axId val="115922175"/>
        <c:scaling>
          <c:orientation val="minMax"/>
        </c:scaling>
        <c:delete val="1"/>
        <c:axPos val="l"/>
        <c:numFmt formatCode="0" sourceLinked="1"/>
        <c:majorTickMark val="none"/>
        <c:minorTickMark val="none"/>
        <c:tickLblPos val="nextTo"/>
        <c:crossAx val="11592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8427981381917838"/>
          <c:y val="0.23675080502752671"/>
          <c:w val="0.45645697690218956"/>
          <c:h val="0.73928126145264006"/>
        </c:manualLayout>
      </c:layout>
      <c:pieChart>
        <c:varyColors val="1"/>
        <c:ser>
          <c:idx val="0"/>
          <c:order val="0"/>
          <c:tx>
            <c:strRef>
              <c:f>'Pivot Report'!$B$64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Delay</c:v>
                </c:pt>
                <c:pt idx="1">
                  <c:v>Ontime</c:v>
                </c:pt>
              </c:strCache>
            </c:strRef>
          </c:cat>
          <c:val>
            <c:numRef>
              <c:f>'Pivot Report'!$B$65:$B$67</c:f>
              <c:numCache>
                <c:formatCode>0</c:formatCode>
                <c:ptCount val="2"/>
                <c:pt idx="0">
                  <c:v>304</c:v>
                </c:pt>
                <c:pt idx="1">
                  <c:v>184</c:v>
                </c:pt>
              </c:numCache>
            </c:numRef>
          </c:val>
          <c:extLst>
            <c:ext xmlns:c16="http://schemas.microsoft.com/office/drawing/2014/chart" uri="{C3380CC4-5D6E-409C-BE32-E72D297353CC}">
              <c16:uniqueId val="{00000007-6DE0-4CD5-B3AE-04A4E923D03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31817585105378"/>
          <c:y val="2.3726305045202706E-2"/>
          <c:w val="0.68985391423708597"/>
          <c:h val="0.1747696121318168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4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72958875338558"/>
          <c:y val="0.20119514716970913"/>
          <c:w val="0.38575303297140401"/>
          <c:h val="0.6042649641726755"/>
        </c:manualLayout>
      </c:layout>
      <c:doughnutChart>
        <c:varyColors val="1"/>
        <c:ser>
          <c:idx val="0"/>
          <c:order val="0"/>
          <c:tx>
            <c:strRef>
              <c:f>'Pivot Report'!$B$70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c:formatCode>
                <c:ptCount val="2"/>
                <c:pt idx="0">
                  <c:v>232</c:v>
                </c:pt>
                <c:pt idx="1">
                  <c:v>256</c:v>
                </c:pt>
              </c:numCache>
            </c:numRef>
          </c:val>
          <c:extLst>
            <c:ext xmlns:c16="http://schemas.microsoft.com/office/drawing/2014/chart" uri="{C3380CC4-5D6E-409C-BE32-E72D297353CC}">
              <c16:uniqueId val="{00000007-7341-4992-B77A-5B7B1F8280C3}"/>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ayout>
        <c:manualLayout>
          <c:xMode val="edge"/>
          <c:yMode val="edge"/>
          <c:x val="0.25272044168518482"/>
          <c:y val="3.5616619784870504E-2"/>
          <c:w val="0.38774827609905849"/>
          <c:h val="0.1195117069037395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10596884622054"/>
          <c:y val="0.10579622450610127"/>
          <c:w val="0.62166255294402395"/>
          <c:h val="0.78840755098779747"/>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Report'!$B$77:$B$85</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3-A740-46EC-81F7-A7143B1B93C4}"/>
            </c:ext>
          </c:extLst>
        </c:ser>
        <c:dLbls>
          <c:showLegendKey val="0"/>
          <c:showVal val="0"/>
          <c:showCatName val="0"/>
          <c:showSerName val="0"/>
          <c:showPercent val="0"/>
          <c:showBubbleSize val="0"/>
        </c:dLbls>
        <c:gapWidth val="32"/>
        <c:overlap val="-33"/>
        <c:axId val="1744630175"/>
        <c:axId val="1744617215"/>
      </c:barChart>
      <c:catAx>
        <c:axId val="17446301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744617215"/>
        <c:crosses val="autoZero"/>
        <c:auto val="1"/>
        <c:lblAlgn val="ctr"/>
        <c:lblOffset val="100"/>
        <c:noMultiLvlLbl val="0"/>
      </c:catAx>
      <c:valAx>
        <c:axId val="1744617215"/>
        <c:scaling>
          <c:orientation val="minMax"/>
        </c:scaling>
        <c:delete val="1"/>
        <c:axPos val="b"/>
        <c:numFmt formatCode="0" sourceLinked="1"/>
        <c:majorTickMark val="none"/>
        <c:minorTickMark val="none"/>
        <c:tickLblPos val="nextTo"/>
        <c:crossAx val="174463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2-8DCC-445A-9470-E7BD9F511669}"/>
            </c:ext>
          </c:extLst>
        </c:ser>
        <c:dLbls>
          <c:showLegendKey val="0"/>
          <c:showVal val="0"/>
          <c:showCatName val="0"/>
          <c:showSerName val="0"/>
          <c:showPercent val="0"/>
          <c:showBubbleSize val="0"/>
        </c:dLbls>
        <c:axId val="1717633599"/>
        <c:axId val="1717626399"/>
      </c:areaChart>
      <c:catAx>
        <c:axId val="171763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7626399"/>
        <c:crosses val="autoZero"/>
        <c:auto val="1"/>
        <c:lblAlgn val="ctr"/>
        <c:lblOffset val="100"/>
        <c:noMultiLvlLbl val="0"/>
      </c:catAx>
      <c:valAx>
        <c:axId val="171762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763359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hyperlink" Target="#'Average wait time daily trend'!A1"/><Relationship Id="rId7" Type="http://schemas.openxmlformats.org/officeDocument/2006/relationships/image" Target="../media/image6.png"/><Relationship Id="rId12" Type="http://schemas.openxmlformats.org/officeDocument/2006/relationships/chart" Target="../charts/chart5.xml"/><Relationship Id="rId17" Type="http://schemas.openxmlformats.org/officeDocument/2006/relationships/chart" Target="../charts/chart9.xml"/><Relationship Id="rId2" Type="http://schemas.openxmlformats.org/officeDocument/2006/relationships/image" Target="../media/image3.png"/><Relationship Id="rId16" Type="http://schemas.openxmlformats.org/officeDocument/2006/relationships/chart" Target="../charts/chart8.xml"/><Relationship Id="rId1" Type="http://schemas.openxmlformats.org/officeDocument/2006/relationships/hyperlink" Target="#'Daily ER No of patient'!A1"/><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image" Target="../media/image9.svg"/><Relationship Id="rId4" Type="http://schemas.openxmlformats.org/officeDocument/2006/relationships/hyperlink" Target="#'Satisfaction score daily trend'!A1"/><Relationship Id="rId9" Type="http://schemas.openxmlformats.org/officeDocument/2006/relationships/image" Target="../media/image8.png"/><Relationship Id="rId14" Type="http://schemas.openxmlformats.org/officeDocument/2006/relationships/image" Target="../media/image10.emf"/></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2</xdr:col>
      <xdr:colOff>990600</xdr:colOff>
      <xdr:row>44</xdr:row>
      <xdr:rowOff>127000</xdr:rowOff>
    </xdr:from>
    <xdr:to>
      <xdr:col>4</xdr:col>
      <xdr:colOff>1149350</xdr:colOff>
      <xdr:row>46</xdr:row>
      <xdr:rowOff>146050</xdr:rowOff>
    </xdr:to>
    <xdr:graphicFrame macro="">
      <xdr:nvGraphicFramePr>
        <xdr:cNvPr id="11" name="Chart 10">
          <a:extLst>
            <a:ext uri="{FF2B5EF4-FFF2-40B4-BE49-F238E27FC236}">
              <a16:creationId xmlns:a16="http://schemas.microsoft.com/office/drawing/2014/main" id="{2E4E5C1E-A7D8-2252-136C-40F02DAF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18</xdr:col>
      <xdr:colOff>533400</xdr:colOff>
      <xdr:row>21</xdr:row>
      <xdr:rowOff>171450</xdr:rowOff>
    </xdr:to>
    <xdr:graphicFrame macro="">
      <xdr:nvGraphicFramePr>
        <xdr:cNvPr id="2" name="Chart 1">
          <a:extLst>
            <a:ext uri="{FF2B5EF4-FFF2-40B4-BE49-F238E27FC236}">
              <a16:creationId xmlns:a16="http://schemas.microsoft.com/office/drawing/2014/main" id="{0CC78C37-2603-4530-B618-0FB0C752C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0.93387</cdr:x>
      <cdr:y>0.00165</cdr:y>
    </cdr:from>
    <cdr:to>
      <cdr:x>0.99491</cdr:x>
      <cdr:y>0.12356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20B3882-2A95-EBDB-EB26-FAD99B9696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159750" y="6350"/>
          <a:ext cx="533400" cy="4699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17</xdr:col>
      <xdr:colOff>419100</xdr:colOff>
      <xdr:row>21</xdr:row>
      <xdr:rowOff>133350</xdr:rowOff>
    </xdr:to>
    <xdr:graphicFrame macro="">
      <xdr:nvGraphicFramePr>
        <xdr:cNvPr id="3" name="Chart 2">
          <a:extLst>
            <a:ext uri="{FF2B5EF4-FFF2-40B4-BE49-F238E27FC236}">
              <a16:creationId xmlns:a16="http://schemas.microsoft.com/office/drawing/2014/main" id="{46216CEC-19FF-45BC-9F3C-9E6AB8883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0.94519</cdr:x>
      <cdr:y>0</cdr:y>
    </cdr:from>
    <cdr:to>
      <cdr:x>1</cdr:x>
      <cdr:y>0.09817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BFE153E-223A-1587-C2CA-D4EC6624D6D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855200" y="0"/>
          <a:ext cx="571500" cy="3746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60669</xdr:colOff>
      <xdr:row>0</xdr:row>
      <xdr:rowOff>89185</xdr:rowOff>
    </xdr:from>
    <xdr:to>
      <xdr:col>4</xdr:col>
      <xdr:colOff>490650</xdr:colOff>
      <xdr:row>3</xdr:row>
      <xdr:rowOff>84106</xdr:rowOff>
    </xdr:to>
    <xdr:sp macro="" textlink="">
      <xdr:nvSpPr>
        <xdr:cNvPr id="20" name="Rectangle: Rounded Corners 19">
          <a:extLst>
            <a:ext uri="{FF2B5EF4-FFF2-40B4-BE49-F238E27FC236}">
              <a16:creationId xmlns:a16="http://schemas.microsoft.com/office/drawing/2014/main" id="{1C0B499D-A47C-323A-A78F-958E2422513D}"/>
            </a:ext>
          </a:extLst>
        </xdr:cNvPr>
        <xdr:cNvSpPr/>
      </xdr:nvSpPr>
      <xdr:spPr>
        <a:xfrm>
          <a:off x="60669" y="89185"/>
          <a:ext cx="2872911" cy="553074"/>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1"/>
            <a:t>dacacsagdjhdgjaj</a:t>
          </a:r>
        </a:p>
      </xdr:txBody>
    </xdr:sp>
    <xdr:clientData/>
  </xdr:twoCellAnchor>
  <xdr:twoCellAnchor editAs="absolute">
    <xdr:from>
      <xdr:col>4</xdr:col>
      <xdr:colOff>535113</xdr:colOff>
      <xdr:row>0</xdr:row>
      <xdr:rowOff>84936</xdr:rowOff>
    </xdr:from>
    <xdr:to>
      <xdr:col>7</xdr:col>
      <xdr:colOff>93060</xdr:colOff>
      <xdr:row>3</xdr:row>
      <xdr:rowOff>92516</xdr:rowOff>
    </xdr:to>
    <xdr:sp macro="" textlink="">
      <xdr:nvSpPr>
        <xdr:cNvPr id="23" name="Rectangle: Rounded Corners 22">
          <a:extLst>
            <a:ext uri="{FF2B5EF4-FFF2-40B4-BE49-F238E27FC236}">
              <a16:creationId xmlns:a16="http://schemas.microsoft.com/office/drawing/2014/main" id="{DDD2D8E0-8A83-708D-0BFE-B7082795679D}"/>
            </a:ext>
          </a:extLst>
        </xdr:cNvPr>
        <xdr:cNvSpPr/>
      </xdr:nvSpPr>
      <xdr:spPr>
        <a:xfrm>
          <a:off x="2978043" y="84936"/>
          <a:ext cx="1390144" cy="565733"/>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131379</xdr:colOff>
      <xdr:row>0</xdr:row>
      <xdr:rowOff>76848</xdr:rowOff>
    </xdr:from>
    <xdr:to>
      <xdr:col>9</xdr:col>
      <xdr:colOff>172417</xdr:colOff>
      <xdr:row>7</xdr:row>
      <xdr:rowOff>142981</xdr:rowOff>
    </xdr:to>
    <xdr:sp macro="" textlink="">
      <xdr:nvSpPr>
        <xdr:cNvPr id="25" name="Rectangle: Rounded Corners 24">
          <a:extLst>
            <a:ext uri="{FF2B5EF4-FFF2-40B4-BE49-F238E27FC236}">
              <a16:creationId xmlns:a16="http://schemas.microsoft.com/office/drawing/2014/main" id="{C7B54C6E-1B50-8A91-C3D0-0C2D5558A929}"/>
            </a:ext>
          </a:extLst>
        </xdr:cNvPr>
        <xdr:cNvSpPr/>
      </xdr:nvSpPr>
      <xdr:spPr>
        <a:xfrm>
          <a:off x="4406506" y="76848"/>
          <a:ext cx="1355529" cy="1368490"/>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218967</xdr:colOff>
      <xdr:row>0</xdr:row>
      <xdr:rowOff>72803</xdr:rowOff>
    </xdr:from>
    <xdr:to>
      <xdr:col>11</xdr:col>
      <xdr:colOff>322974</xdr:colOff>
      <xdr:row>7</xdr:row>
      <xdr:rowOff>147801</xdr:rowOff>
    </xdr:to>
    <xdr:sp macro="" textlink="">
      <xdr:nvSpPr>
        <xdr:cNvPr id="26" name="Rectangle: Rounded Corners 25">
          <a:extLst>
            <a:ext uri="{FF2B5EF4-FFF2-40B4-BE49-F238E27FC236}">
              <a16:creationId xmlns:a16="http://schemas.microsoft.com/office/drawing/2014/main" id="{EA261995-F024-A55D-F2D8-895CCF8E99E3}"/>
            </a:ext>
          </a:extLst>
        </xdr:cNvPr>
        <xdr:cNvSpPr/>
      </xdr:nvSpPr>
      <xdr:spPr>
        <a:xfrm>
          <a:off x="5818091" y="72803"/>
          <a:ext cx="1327657" cy="1372808"/>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64396</xdr:colOff>
      <xdr:row>3</xdr:row>
      <xdr:rowOff>125077</xdr:rowOff>
    </xdr:from>
    <xdr:to>
      <xdr:col>1</xdr:col>
      <xdr:colOff>267927</xdr:colOff>
      <xdr:row>15</xdr:row>
      <xdr:rowOff>129249</xdr:rowOff>
    </xdr:to>
    <xdr:sp macro="" textlink="">
      <xdr:nvSpPr>
        <xdr:cNvPr id="27" name="Rectangle: Rounded Corners 26">
          <a:extLst>
            <a:ext uri="{FF2B5EF4-FFF2-40B4-BE49-F238E27FC236}">
              <a16:creationId xmlns:a16="http://schemas.microsoft.com/office/drawing/2014/main" id="{1945D36B-1B7A-C54A-86D7-D4985017D083}"/>
            </a:ext>
          </a:extLst>
        </xdr:cNvPr>
        <xdr:cNvSpPr/>
      </xdr:nvSpPr>
      <xdr:spPr>
        <a:xfrm>
          <a:off x="64396" y="673486"/>
          <a:ext cx="814478" cy="2197808"/>
        </a:xfrm>
        <a:prstGeom prst="roundRect">
          <a:avLst>
            <a:gd name="adj" fmla="val 1193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noFill/>
          </a:endParaRPr>
        </a:p>
      </xdr:txBody>
    </xdr:sp>
    <xdr:clientData/>
  </xdr:twoCellAnchor>
  <xdr:twoCellAnchor editAs="absolute">
    <xdr:from>
      <xdr:col>1</xdr:col>
      <xdr:colOff>311192</xdr:colOff>
      <xdr:row>3</xdr:row>
      <xdr:rowOff>113544</xdr:rowOff>
    </xdr:from>
    <xdr:to>
      <xdr:col>3</xdr:col>
      <xdr:colOff>197649</xdr:colOff>
      <xdr:row>6</xdr:row>
      <xdr:rowOff>109340</xdr:rowOff>
    </xdr:to>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48271836-A03B-8558-F794-150F08C2046B}"/>
            </a:ext>
          </a:extLst>
        </xdr:cNvPr>
        <xdr:cNvSpPr/>
      </xdr:nvSpPr>
      <xdr:spPr>
        <a:xfrm>
          <a:off x="920960" y="668643"/>
          <a:ext cx="1105994" cy="550896"/>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3</xdr:col>
      <xdr:colOff>222880</xdr:colOff>
      <xdr:row>3</xdr:row>
      <xdr:rowOff>109338</xdr:rowOff>
    </xdr:from>
    <xdr:to>
      <xdr:col>5</xdr:col>
      <xdr:colOff>58874</xdr:colOff>
      <xdr:row>6</xdr:row>
      <xdr:rowOff>109337</xdr:rowOff>
    </xdr:to>
    <xdr:sp macro="" textlink="">
      <xdr:nvSpPr>
        <xdr:cNvPr id="33" name="Rectangle: Rounded Corners 32">
          <a:extLst>
            <a:ext uri="{FF2B5EF4-FFF2-40B4-BE49-F238E27FC236}">
              <a16:creationId xmlns:a16="http://schemas.microsoft.com/office/drawing/2014/main" id="{9E211F45-5501-4D67-A1A4-1309D65547A1}"/>
            </a:ext>
          </a:extLst>
        </xdr:cNvPr>
        <xdr:cNvSpPr/>
      </xdr:nvSpPr>
      <xdr:spPr>
        <a:xfrm>
          <a:off x="2052185" y="664437"/>
          <a:ext cx="1055530" cy="555099"/>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5</xdr:col>
      <xdr:colOff>92516</xdr:colOff>
      <xdr:row>3</xdr:row>
      <xdr:rowOff>117748</xdr:rowOff>
    </xdr:from>
    <xdr:to>
      <xdr:col>7</xdr:col>
      <xdr:colOff>54669</xdr:colOff>
      <xdr:row>6</xdr:row>
      <xdr:rowOff>96721</xdr:rowOff>
    </xdr:to>
    <xdr:sp macro="" textlink="">
      <xdr:nvSpPr>
        <xdr:cNvPr id="34" name="Rectangle: Rounded Corners 33">
          <a:extLst>
            <a:ext uri="{FF2B5EF4-FFF2-40B4-BE49-F238E27FC236}">
              <a16:creationId xmlns:a16="http://schemas.microsoft.com/office/drawing/2014/main" id="{AC7EEBA6-E255-34F3-B51C-08B44C0B699C}"/>
            </a:ext>
          </a:extLst>
        </xdr:cNvPr>
        <xdr:cNvSpPr/>
      </xdr:nvSpPr>
      <xdr:spPr>
        <a:xfrm>
          <a:off x="3130663" y="676110"/>
          <a:ext cx="1177411" cy="537335"/>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315398</xdr:colOff>
      <xdr:row>9</xdr:row>
      <xdr:rowOff>176623</xdr:rowOff>
    </xdr:from>
    <xdr:to>
      <xdr:col>7</xdr:col>
      <xdr:colOff>105132</xdr:colOff>
      <xdr:row>15</xdr:row>
      <xdr:rowOff>92701</xdr:rowOff>
    </xdr:to>
    <xdr:sp macro="" textlink="">
      <xdr:nvSpPr>
        <xdr:cNvPr id="35" name="Rectangle: Rounded Corners 34">
          <a:extLst>
            <a:ext uri="{FF2B5EF4-FFF2-40B4-BE49-F238E27FC236}">
              <a16:creationId xmlns:a16="http://schemas.microsoft.com/office/drawing/2014/main" id="{C62C6D16-3211-B62F-82F7-717BDB84421B}"/>
            </a:ext>
          </a:extLst>
        </xdr:cNvPr>
        <xdr:cNvSpPr/>
      </xdr:nvSpPr>
      <xdr:spPr>
        <a:xfrm>
          <a:off x="927223" y="1845236"/>
          <a:ext cx="3460683" cy="1028487"/>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315398</xdr:colOff>
      <xdr:row>6</xdr:row>
      <xdr:rowOff>115455</xdr:rowOff>
    </xdr:from>
    <xdr:to>
      <xdr:col>7</xdr:col>
      <xdr:colOff>113545</xdr:colOff>
      <xdr:row>9</xdr:row>
      <xdr:rowOff>159802</xdr:rowOff>
    </xdr:to>
    <xdr:sp macro="" textlink="">
      <xdr:nvSpPr>
        <xdr:cNvPr id="36" name="Rectangle: Rounded Corners 35">
          <a:extLst>
            <a:ext uri="{FF2B5EF4-FFF2-40B4-BE49-F238E27FC236}">
              <a16:creationId xmlns:a16="http://schemas.microsoft.com/office/drawing/2014/main" id="{56759C87-3E91-D3F3-169C-6746A72E6E72}"/>
            </a:ext>
          </a:extLst>
        </xdr:cNvPr>
        <xdr:cNvSpPr/>
      </xdr:nvSpPr>
      <xdr:spPr>
        <a:xfrm>
          <a:off x="926345" y="1212273"/>
          <a:ext cx="3463829" cy="592756"/>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138776</xdr:colOff>
      <xdr:row>7</xdr:row>
      <xdr:rowOff>177961</xdr:rowOff>
    </xdr:from>
    <xdr:to>
      <xdr:col>11</xdr:col>
      <xdr:colOff>323809</xdr:colOff>
      <xdr:row>15</xdr:row>
      <xdr:rowOff>97336</xdr:rowOff>
    </xdr:to>
    <xdr:sp macro="" textlink="">
      <xdr:nvSpPr>
        <xdr:cNvPr id="41" name="Rectangle: Rounded Corners 40">
          <a:extLst>
            <a:ext uri="{FF2B5EF4-FFF2-40B4-BE49-F238E27FC236}">
              <a16:creationId xmlns:a16="http://schemas.microsoft.com/office/drawing/2014/main" id="{8D6D35CB-C1AB-7B09-AA74-2A394334E050}"/>
            </a:ext>
          </a:extLst>
        </xdr:cNvPr>
        <xdr:cNvSpPr/>
      </xdr:nvSpPr>
      <xdr:spPr>
        <a:xfrm>
          <a:off x="4421550" y="1475771"/>
          <a:ext cx="2725033" cy="1402587"/>
        </a:xfrm>
        <a:prstGeom prst="roundRect">
          <a:avLst>
            <a:gd name="adj" fmla="val 119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588743</xdr:colOff>
      <xdr:row>0</xdr:row>
      <xdr:rowOff>109338</xdr:rowOff>
    </xdr:from>
    <xdr:to>
      <xdr:col>4</xdr:col>
      <xdr:colOff>458378</xdr:colOff>
      <xdr:row>1</xdr:row>
      <xdr:rowOff>109338</xdr:rowOff>
    </xdr:to>
    <xdr:sp macro="" textlink="">
      <xdr:nvSpPr>
        <xdr:cNvPr id="2" name="TextBox 1">
          <a:extLst>
            <a:ext uri="{FF2B5EF4-FFF2-40B4-BE49-F238E27FC236}">
              <a16:creationId xmlns:a16="http://schemas.microsoft.com/office/drawing/2014/main" id="{0E8F1008-70CD-DF2A-43AC-EA3F6CDB2C50}"/>
            </a:ext>
          </a:extLst>
        </xdr:cNvPr>
        <xdr:cNvSpPr txBox="1"/>
      </xdr:nvSpPr>
      <xdr:spPr>
        <a:xfrm>
          <a:off x="588743" y="109338"/>
          <a:ext cx="2308708" cy="1850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i="0">
              <a:solidFill>
                <a:schemeClr val="tx1"/>
              </a:solidFill>
            </a:rPr>
            <a:t>H</a:t>
          </a:r>
          <a:r>
            <a:rPr lang="en-IN" sz="1000" i="0" u="none">
              <a:solidFill>
                <a:schemeClr val="tx1"/>
              </a:solidFill>
            </a:rPr>
            <a:t>ospital</a:t>
          </a:r>
          <a:r>
            <a:rPr lang="en-IN" sz="1100" u="none">
              <a:solidFill>
                <a:schemeClr val="tx1"/>
              </a:solidFill>
            </a:rPr>
            <a:t> Emergency Room Dashboard</a:t>
          </a:r>
        </a:p>
      </xdr:txBody>
    </xdr:sp>
    <xdr:clientData/>
  </xdr:twoCellAnchor>
  <xdr:twoCellAnchor editAs="absolute">
    <xdr:from>
      <xdr:col>0</xdr:col>
      <xdr:colOff>0</xdr:colOff>
      <xdr:row>0</xdr:row>
      <xdr:rowOff>130363</xdr:rowOff>
    </xdr:from>
    <xdr:to>
      <xdr:col>1</xdr:col>
      <xdr:colOff>202647</xdr:colOff>
      <xdr:row>3</xdr:row>
      <xdr:rowOff>26336</xdr:rowOff>
    </xdr:to>
    <xdr:pic>
      <xdr:nvPicPr>
        <xdr:cNvPr id="4" name="Picture 3">
          <a:extLst>
            <a:ext uri="{FF2B5EF4-FFF2-40B4-BE49-F238E27FC236}">
              <a16:creationId xmlns:a16="http://schemas.microsoft.com/office/drawing/2014/main" id="{4F575408-627E-7FD9-28AF-20CBBB825D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30363"/>
          <a:ext cx="813594" cy="444382"/>
        </a:xfrm>
        <a:prstGeom prst="rect">
          <a:avLst/>
        </a:prstGeom>
      </xdr:spPr>
    </xdr:pic>
    <xdr:clientData/>
  </xdr:twoCellAnchor>
  <xdr:twoCellAnchor editAs="absolute">
    <xdr:from>
      <xdr:col>1</xdr:col>
      <xdr:colOff>319603</xdr:colOff>
      <xdr:row>1</xdr:row>
      <xdr:rowOff>164007</xdr:rowOff>
    </xdr:from>
    <xdr:to>
      <xdr:col>3</xdr:col>
      <xdr:colOff>576125</xdr:colOff>
      <xdr:row>2</xdr:row>
      <xdr:rowOff>159802</xdr:rowOff>
    </xdr:to>
    <xdr:sp macro="" textlink="">
      <xdr:nvSpPr>
        <xdr:cNvPr id="5" name="TextBox 4">
          <a:extLst>
            <a:ext uri="{FF2B5EF4-FFF2-40B4-BE49-F238E27FC236}">
              <a16:creationId xmlns:a16="http://schemas.microsoft.com/office/drawing/2014/main" id="{683FB569-AE1D-3D29-714F-78C6E0B2E790}"/>
            </a:ext>
          </a:extLst>
        </xdr:cNvPr>
        <xdr:cNvSpPr txBox="1"/>
      </xdr:nvSpPr>
      <xdr:spPr>
        <a:xfrm>
          <a:off x="929371" y="349040"/>
          <a:ext cx="1476059" cy="180828"/>
        </a:xfrm>
        <a:prstGeom prst="rect">
          <a:avLst/>
        </a:prstGeom>
        <a:noFill/>
        <a:ln w="9525" cmpd="sng">
          <a:solidFill>
            <a:schemeClr val="lt1">
              <a:shade val="50000"/>
            </a:schemeClr>
          </a:solidFill>
        </a:ln>
        <a:effectLst>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Report</a:t>
          </a:r>
          <a:endParaRPr lang="en-IN" sz="900"/>
        </a:p>
      </xdr:txBody>
    </xdr:sp>
    <xdr:clientData/>
  </xdr:twoCellAnchor>
  <xdr:twoCellAnchor editAs="absolute">
    <xdr:from>
      <xdr:col>1</xdr:col>
      <xdr:colOff>365861</xdr:colOff>
      <xdr:row>4</xdr:row>
      <xdr:rowOff>159802</xdr:rowOff>
    </xdr:from>
    <xdr:to>
      <xdr:col>3</xdr:col>
      <xdr:colOff>113543</xdr:colOff>
      <xdr:row>5</xdr:row>
      <xdr:rowOff>113543</xdr:rowOff>
    </xdr:to>
    <xdr:sp macro="" textlink="">
      <xdr:nvSpPr>
        <xdr:cNvPr id="13" name="TextBox 12">
          <a:extLst>
            <a:ext uri="{FF2B5EF4-FFF2-40B4-BE49-F238E27FC236}">
              <a16:creationId xmlns:a16="http://schemas.microsoft.com/office/drawing/2014/main" id="{039ED591-298E-4947-C31C-6966BBB9FCEF}"/>
            </a:ext>
          </a:extLst>
        </xdr:cNvPr>
        <xdr:cNvSpPr txBox="1"/>
      </xdr:nvSpPr>
      <xdr:spPr>
        <a:xfrm>
          <a:off x="975629" y="899934"/>
          <a:ext cx="967219" cy="13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Patients</a:t>
          </a:r>
          <a:endParaRPr lang="en-IN" sz="800"/>
        </a:p>
      </xdr:txBody>
    </xdr:sp>
    <xdr:clientData/>
  </xdr:twoCellAnchor>
  <xdr:twoCellAnchor editAs="absolute">
    <xdr:from>
      <xdr:col>3</xdr:col>
      <xdr:colOff>277548</xdr:colOff>
      <xdr:row>4</xdr:row>
      <xdr:rowOff>180828</xdr:rowOff>
    </xdr:from>
    <xdr:to>
      <xdr:col>4</xdr:col>
      <xdr:colOff>567715</xdr:colOff>
      <xdr:row>5</xdr:row>
      <xdr:rowOff>130362</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E5BB84E5-7CA0-4FE6-BF4C-0903373364B1}"/>
            </a:ext>
          </a:extLst>
        </xdr:cNvPr>
        <xdr:cNvSpPr txBox="1"/>
      </xdr:nvSpPr>
      <xdr:spPr>
        <a:xfrm>
          <a:off x="2106853" y="920960"/>
          <a:ext cx="899935" cy="13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Avg.</a:t>
          </a:r>
          <a:r>
            <a:rPr lang="en-IN" sz="800" baseline="0"/>
            <a:t> Wait Time (Min)</a:t>
          </a:r>
          <a:endParaRPr lang="en-IN" sz="800"/>
        </a:p>
      </xdr:txBody>
    </xdr:sp>
    <xdr:clientData/>
  </xdr:twoCellAnchor>
  <xdr:twoCellAnchor editAs="absolute">
    <xdr:from>
      <xdr:col>5</xdr:col>
      <xdr:colOff>159800</xdr:colOff>
      <xdr:row>4</xdr:row>
      <xdr:rowOff>151391</xdr:rowOff>
    </xdr:from>
    <xdr:to>
      <xdr:col>7</xdr:col>
      <xdr:colOff>16822</xdr:colOff>
      <xdr:row>5</xdr:row>
      <xdr:rowOff>126159</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E77FFF21-FEEE-0D08-8DFF-90F3199232FD}"/>
            </a:ext>
          </a:extLst>
        </xdr:cNvPr>
        <xdr:cNvSpPr txBox="1"/>
      </xdr:nvSpPr>
      <xdr:spPr>
        <a:xfrm>
          <a:off x="3208641" y="891523"/>
          <a:ext cx="1076558" cy="159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Satisfaction score</a:t>
          </a:r>
          <a:endParaRPr lang="en-IN" sz="800"/>
        </a:p>
      </xdr:txBody>
    </xdr:sp>
    <xdr:clientData/>
  </xdr:twoCellAnchor>
  <xdr:twoCellAnchor editAs="absolute">
    <xdr:from>
      <xdr:col>7</xdr:col>
      <xdr:colOff>189238</xdr:colOff>
      <xdr:row>6</xdr:row>
      <xdr:rowOff>109337</xdr:rowOff>
    </xdr:from>
    <xdr:to>
      <xdr:col>9</xdr:col>
      <xdr:colOff>159800</xdr:colOff>
      <xdr:row>7</xdr:row>
      <xdr:rowOff>96722</xdr:rowOff>
    </xdr:to>
    <xdr:sp macro="" textlink="">
      <xdr:nvSpPr>
        <xdr:cNvPr id="17" name="TextBox 16">
          <a:extLst>
            <a:ext uri="{FF2B5EF4-FFF2-40B4-BE49-F238E27FC236}">
              <a16:creationId xmlns:a16="http://schemas.microsoft.com/office/drawing/2014/main" id="{F8D5400E-3BFC-542E-03E4-FC87FDF52D71}"/>
            </a:ext>
          </a:extLst>
        </xdr:cNvPr>
        <xdr:cNvSpPr txBox="1"/>
      </xdr:nvSpPr>
      <xdr:spPr>
        <a:xfrm>
          <a:off x="4457615" y="1219536"/>
          <a:ext cx="1286821" cy="17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attended within time</a:t>
          </a:r>
          <a:endParaRPr lang="en-IN" sz="800"/>
        </a:p>
      </xdr:txBody>
    </xdr:sp>
    <xdr:clientData/>
  </xdr:twoCellAnchor>
  <xdr:twoCellAnchor editAs="absolute">
    <xdr:from>
      <xdr:col>9</xdr:col>
      <xdr:colOff>252318</xdr:colOff>
      <xdr:row>6</xdr:row>
      <xdr:rowOff>109337</xdr:rowOff>
    </xdr:from>
    <xdr:to>
      <xdr:col>11</xdr:col>
      <xdr:colOff>269140</xdr:colOff>
      <xdr:row>7</xdr:row>
      <xdr:rowOff>75695</xdr:rowOff>
    </xdr:to>
    <xdr:sp macro="" textlink="">
      <xdr:nvSpPr>
        <xdr:cNvPr id="19" name="TextBox 18">
          <a:extLst>
            <a:ext uri="{FF2B5EF4-FFF2-40B4-BE49-F238E27FC236}">
              <a16:creationId xmlns:a16="http://schemas.microsoft.com/office/drawing/2014/main" id="{B8A1B4C0-50CA-9481-467F-051285A65CAD}"/>
            </a:ext>
          </a:extLst>
        </xdr:cNvPr>
        <xdr:cNvSpPr txBox="1"/>
      </xdr:nvSpPr>
      <xdr:spPr>
        <a:xfrm>
          <a:off x="5836954" y="1219536"/>
          <a:ext cx="1236358" cy="151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 Patient</a:t>
          </a:r>
          <a:r>
            <a:rPr lang="en-IN" sz="800" baseline="0"/>
            <a:t> by Gender </a:t>
          </a:r>
          <a:endParaRPr lang="en-IN" sz="800"/>
        </a:p>
      </xdr:txBody>
    </xdr:sp>
    <xdr:clientData/>
  </xdr:twoCellAnchor>
  <xdr:twoCellAnchor>
    <xdr:from>
      <xdr:col>5</xdr:col>
      <xdr:colOff>92517</xdr:colOff>
      <xdr:row>0</xdr:row>
      <xdr:rowOff>151391</xdr:rowOff>
    </xdr:from>
    <xdr:to>
      <xdr:col>6</xdr:col>
      <xdr:colOff>370066</xdr:colOff>
      <xdr:row>1</xdr:row>
      <xdr:rowOff>138775</xdr:rowOff>
    </xdr:to>
    <xdr:sp macro="" textlink="">
      <xdr:nvSpPr>
        <xdr:cNvPr id="31" name="TextBox 30">
          <a:extLst>
            <a:ext uri="{FF2B5EF4-FFF2-40B4-BE49-F238E27FC236}">
              <a16:creationId xmlns:a16="http://schemas.microsoft.com/office/drawing/2014/main" id="{4CA13253-08DA-4597-9CB6-4BB49CD463D8}"/>
            </a:ext>
          </a:extLst>
        </xdr:cNvPr>
        <xdr:cNvSpPr txBox="1"/>
      </xdr:nvSpPr>
      <xdr:spPr>
        <a:xfrm>
          <a:off x="3141358" y="151391"/>
          <a:ext cx="887317" cy="17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Select Year</a:t>
          </a:r>
        </a:p>
      </xdr:txBody>
    </xdr:sp>
    <xdr:clientData/>
  </xdr:twoCellAnchor>
  <xdr:twoCellAnchor editAs="absolute">
    <xdr:from>
      <xdr:col>2</xdr:col>
      <xdr:colOff>130365</xdr:colOff>
      <xdr:row>3</xdr:row>
      <xdr:rowOff>168210</xdr:rowOff>
    </xdr:from>
    <xdr:to>
      <xdr:col>2</xdr:col>
      <xdr:colOff>525663</xdr:colOff>
      <xdr:row>4</xdr:row>
      <xdr:rowOff>151391</xdr:rowOff>
    </xdr:to>
    <xdr:sp macro="" textlink="'Pivot Report'!$A$5">
      <xdr:nvSpPr>
        <xdr:cNvPr id="38" name="TextBox 37">
          <a:extLst>
            <a:ext uri="{FF2B5EF4-FFF2-40B4-BE49-F238E27FC236}">
              <a16:creationId xmlns:a16="http://schemas.microsoft.com/office/drawing/2014/main" id="{0EA796D8-CE4C-CA00-1F08-BD4FB3D99278}"/>
            </a:ext>
          </a:extLst>
        </xdr:cNvPr>
        <xdr:cNvSpPr txBox="1"/>
      </xdr:nvSpPr>
      <xdr:spPr>
        <a:xfrm>
          <a:off x="1349901" y="723309"/>
          <a:ext cx="395298" cy="16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99C8DC-47A1-4982-AB8B-4CF723F51C12}" type="TxLink">
            <a:rPr lang="en-US" sz="1100" b="0" i="0" u="none" strike="noStrike">
              <a:solidFill>
                <a:srgbClr val="000000"/>
              </a:solidFill>
              <a:latin typeface="Calibri"/>
              <a:ea typeface="Calibri"/>
              <a:cs typeface="Calibri"/>
            </a:rPr>
            <a:t>488</a:t>
          </a:fld>
          <a:endParaRPr lang="en-IN" sz="800"/>
        </a:p>
      </xdr:txBody>
    </xdr:sp>
    <xdr:clientData/>
  </xdr:twoCellAnchor>
  <xdr:twoCellAnchor editAs="absolute">
    <xdr:from>
      <xdr:col>3</xdr:col>
      <xdr:colOff>458376</xdr:colOff>
      <xdr:row>4</xdr:row>
      <xdr:rowOff>1</xdr:rowOff>
    </xdr:from>
    <xdr:to>
      <xdr:col>4</xdr:col>
      <xdr:colOff>306985</xdr:colOff>
      <xdr:row>4</xdr:row>
      <xdr:rowOff>159803</xdr:rowOff>
    </xdr:to>
    <xdr:sp macro="" textlink="'Pivot Report'!$A$9">
      <xdr:nvSpPr>
        <xdr:cNvPr id="39" name="TextBox 38">
          <a:hlinkClick xmlns:r="http://schemas.openxmlformats.org/officeDocument/2006/relationships" r:id="rId3"/>
          <a:extLst>
            <a:ext uri="{FF2B5EF4-FFF2-40B4-BE49-F238E27FC236}">
              <a16:creationId xmlns:a16="http://schemas.microsoft.com/office/drawing/2014/main" id="{0A31163C-6069-1AEF-CABE-50AF297B2EFC}"/>
            </a:ext>
          </a:extLst>
        </xdr:cNvPr>
        <xdr:cNvSpPr txBox="1"/>
      </xdr:nvSpPr>
      <xdr:spPr>
        <a:xfrm>
          <a:off x="2287681" y="740133"/>
          <a:ext cx="458377" cy="159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9670272-BFCD-47E4-9E8A-2F914E405286}" type="TxLink">
            <a:rPr lang="en-US" sz="1100" b="0" i="0" u="none" strike="noStrike">
              <a:solidFill>
                <a:srgbClr val="000000"/>
              </a:solidFill>
              <a:latin typeface="Calibri"/>
              <a:ea typeface="Calibri"/>
              <a:cs typeface="Calibri"/>
            </a:rPr>
            <a:t>35.20</a:t>
          </a:fld>
          <a:endParaRPr lang="en-IN" sz="800"/>
        </a:p>
      </xdr:txBody>
    </xdr:sp>
    <xdr:clientData/>
  </xdr:twoCellAnchor>
  <xdr:twoCellAnchor editAs="absolute">
    <xdr:from>
      <xdr:col>5</xdr:col>
      <xdr:colOff>361656</xdr:colOff>
      <xdr:row>3</xdr:row>
      <xdr:rowOff>151391</xdr:rowOff>
    </xdr:from>
    <xdr:to>
      <xdr:col>6</xdr:col>
      <xdr:colOff>264934</xdr:colOff>
      <xdr:row>4</xdr:row>
      <xdr:rowOff>138775</xdr:rowOff>
    </xdr:to>
    <xdr:sp macro="" textlink="'Pivot Report'!$A$13">
      <xdr:nvSpPr>
        <xdr:cNvPr id="49" name="TextBox 48">
          <a:extLst>
            <a:ext uri="{FF2B5EF4-FFF2-40B4-BE49-F238E27FC236}">
              <a16:creationId xmlns:a16="http://schemas.microsoft.com/office/drawing/2014/main" id="{92016B2E-4549-50E4-1FFA-C79A1D85C2F5}"/>
            </a:ext>
          </a:extLst>
        </xdr:cNvPr>
        <xdr:cNvSpPr txBox="1"/>
      </xdr:nvSpPr>
      <xdr:spPr>
        <a:xfrm>
          <a:off x="3410497" y="706490"/>
          <a:ext cx="513046" cy="17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EE408EF-5615-48C7-BA82-52B46FA2EC89}" type="TxLink">
            <a:rPr lang="en-US" sz="1100" b="0" i="0" u="none" strike="noStrike">
              <a:solidFill>
                <a:srgbClr val="000000"/>
              </a:solidFill>
              <a:latin typeface="Calibri"/>
              <a:ea typeface="Calibri"/>
              <a:cs typeface="Calibri"/>
            </a:rPr>
            <a:t>4.79</a:t>
          </a:fld>
          <a:endParaRPr lang="en-IN" sz="800"/>
        </a:p>
      </xdr:txBody>
    </xdr:sp>
    <xdr:clientData/>
  </xdr:twoCellAnchor>
  <xdr:twoCellAnchor editAs="oneCell">
    <xdr:from>
      <xdr:col>2</xdr:col>
      <xdr:colOff>494377</xdr:colOff>
      <xdr:row>3</xdr:row>
      <xdr:rowOff>130364</xdr:rowOff>
    </xdr:from>
    <xdr:to>
      <xdr:col>3</xdr:col>
      <xdr:colOff>172417</xdr:colOff>
      <xdr:row>4</xdr:row>
      <xdr:rowOff>176622</xdr:rowOff>
    </xdr:to>
    <xdr:pic>
      <xdr:nvPicPr>
        <xdr:cNvPr id="51" name="Graphic 50" descr="Male profile with solid fill">
          <a:extLst>
            <a:ext uri="{FF2B5EF4-FFF2-40B4-BE49-F238E27FC236}">
              <a16:creationId xmlns:a16="http://schemas.microsoft.com/office/drawing/2014/main" id="{45EC12C9-A2A6-A53F-C961-78762D1426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13913" y="685463"/>
          <a:ext cx="287809" cy="231291"/>
        </a:xfrm>
        <a:prstGeom prst="rect">
          <a:avLst/>
        </a:prstGeom>
      </xdr:spPr>
    </xdr:pic>
    <xdr:clientData/>
  </xdr:twoCellAnchor>
  <xdr:twoCellAnchor editAs="oneCell">
    <xdr:from>
      <xdr:col>6</xdr:col>
      <xdr:colOff>248111</xdr:colOff>
      <xdr:row>3</xdr:row>
      <xdr:rowOff>138775</xdr:rowOff>
    </xdr:from>
    <xdr:to>
      <xdr:col>6</xdr:col>
      <xdr:colOff>601356</xdr:colOff>
      <xdr:row>5</xdr:row>
      <xdr:rowOff>4204</xdr:rowOff>
    </xdr:to>
    <xdr:pic>
      <xdr:nvPicPr>
        <xdr:cNvPr id="53" name="Graphic 52" descr="Customer review with solid fill">
          <a:extLst>
            <a:ext uri="{FF2B5EF4-FFF2-40B4-BE49-F238E27FC236}">
              <a16:creationId xmlns:a16="http://schemas.microsoft.com/office/drawing/2014/main" id="{8154A3A2-7608-A52C-7FC2-656E18EFF0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06720" y="693874"/>
          <a:ext cx="353245" cy="235496"/>
        </a:xfrm>
        <a:prstGeom prst="rect">
          <a:avLst/>
        </a:prstGeom>
      </xdr:spPr>
    </xdr:pic>
    <xdr:clientData/>
  </xdr:twoCellAnchor>
  <xdr:twoCellAnchor editAs="oneCell">
    <xdr:from>
      <xdr:col>4</xdr:col>
      <xdr:colOff>366168</xdr:colOff>
      <xdr:row>3</xdr:row>
      <xdr:rowOff>155596</xdr:rowOff>
    </xdr:from>
    <xdr:to>
      <xdr:col>5</xdr:col>
      <xdr:colOff>4205</xdr:colOff>
      <xdr:row>4</xdr:row>
      <xdr:rowOff>166861</xdr:rowOff>
    </xdr:to>
    <xdr:pic>
      <xdr:nvPicPr>
        <xdr:cNvPr id="55" name="Graphic 54" descr="Hourglass Finished with solid fill">
          <a:extLst>
            <a:ext uri="{FF2B5EF4-FFF2-40B4-BE49-F238E27FC236}">
              <a16:creationId xmlns:a16="http://schemas.microsoft.com/office/drawing/2014/main" id="{DB33A9F3-901F-E86B-2A37-1DFE7B4395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3467" y="711800"/>
          <a:ext cx="249862" cy="196667"/>
        </a:xfrm>
        <a:prstGeom prst="rect">
          <a:avLst/>
        </a:prstGeom>
      </xdr:spPr>
    </xdr:pic>
    <xdr:clientData/>
  </xdr:twoCellAnchor>
  <xdr:twoCellAnchor editAs="absolute">
    <xdr:from>
      <xdr:col>1</xdr:col>
      <xdr:colOff>218676</xdr:colOff>
      <xdr:row>5</xdr:row>
      <xdr:rowOff>33642</xdr:rowOff>
    </xdr:from>
    <xdr:to>
      <xdr:col>3</xdr:col>
      <xdr:colOff>290165</xdr:colOff>
      <xdr:row>7</xdr:row>
      <xdr:rowOff>12616</xdr:rowOff>
    </xdr:to>
    <xdr:graphicFrame macro="">
      <xdr:nvGraphicFramePr>
        <xdr:cNvPr id="58" name="Chart 57">
          <a:extLst>
            <a:ext uri="{FF2B5EF4-FFF2-40B4-BE49-F238E27FC236}">
              <a16:creationId xmlns:a16="http://schemas.microsoft.com/office/drawing/2014/main" id="{C5653360-CAD4-471E-9B8E-097B322C7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79900</xdr:colOff>
      <xdr:row>4</xdr:row>
      <xdr:rowOff>172418</xdr:rowOff>
    </xdr:from>
    <xdr:to>
      <xdr:col>5</xdr:col>
      <xdr:colOff>197649</xdr:colOff>
      <xdr:row>7</xdr:row>
      <xdr:rowOff>63078</xdr:rowOff>
    </xdr:to>
    <xdr:graphicFrame macro="">
      <xdr:nvGraphicFramePr>
        <xdr:cNvPr id="61" name="Chart 60">
          <a:extLst>
            <a:ext uri="{FF2B5EF4-FFF2-40B4-BE49-F238E27FC236}">
              <a16:creationId xmlns:a16="http://schemas.microsoft.com/office/drawing/2014/main" id="{1191FAE9-EA06-4B85-8B21-C0CC47022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5</xdr:col>
      <xdr:colOff>16821</xdr:colOff>
      <xdr:row>5</xdr:row>
      <xdr:rowOff>21897</xdr:rowOff>
    </xdr:from>
    <xdr:to>
      <xdr:col>7</xdr:col>
      <xdr:colOff>105133</xdr:colOff>
      <xdr:row>7</xdr:row>
      <xdr:rowOff>2229</xdr:rowOff>
    </xdr:to>
    <xdr:graphicFrame macro="">
      <xdr:nvGraphicFramePr>
        <xdr:cNvPr id="63" name="Chart 62">
          <a:extLst>
            <a:ext uri="{FF2B5EF4-FFF2-40B4-BE49-F238E27FC236}">
              <a16:creationId xmlns:a16="http://schemas.microsoft.com/office/drawing/2014/main" id="{4C3704C0-1CF1-4146-9B76-CED43BEB4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349040</xdr:colOff>
          <xdr:row>7</xdr:row>
          <xdr:rowOff>0</xdr:rowOff>
        </xdr:from>
        <xdr:to>
          <xdr:col>7</xdr:col>
          <xdr:colOff>71491</xdr:colOff>
          <xdr:row>9</xdr:row>
          <xdr:rowOff>147185</xdr:rowOff>
        </xdr:to>
        <xdr:pic>
          <xdr:nvPicPr>
            <xdr:cNvPr id="69" name="Picture 68">
              <a:extLst>
                <a:ext uri="{FF2B5EF4-FFF2-40B4-BE49-F238E27FC236}">
                  <a16:creationId xmlns:a16="http://schemas.microsoft.com/office/drawing/2014/main" id="{211A2132-D8DA-E3D6-71D2-E19C643D4ACF}"/>
                </a:ext>
              </a:extLst>
            </xdr:cNvPr>
            <xdr:cNvPicPr>
              <a:picLocks noChangeAspect="1" noChangeArrowheads="1"/>
              <a:extLst>
                <a:ext uri="{84589F7E-364E-4C9E-8A38-B11213B215E9}">
                  <a14:cameraTool cellRange="'Pivot Report'!$A$45:$E$47" spid="_x0000_s1064"/>
                </a:ext>
              </a:extLst>
            </xdr:cNvPicPr>
          </xdr:nvPicPr>
          <xdr:blipFill>
            <a:blip xmlns:r="http://schemas.openxmlformats.org/officeDocument/2006/relationships" r:embed="rId14"/>
            <a:srcRect/>
            <a:stretch>
              <a:fillRect/>
            </a:stretch>
          </xdr:blipFill>
          <xdr:spPr bwMode="auto">
            <a:xfrm>
              <a:off x="958808" y="1295232"/>
              <a:ext cx="3381060" cy="5172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336424</xdr:colOff>
      <xdr:row>10</xdr:row>
      <xdr:rowOff>71491</xdr:rowOff>
    </xdr:from>
    <xdr:to>
      <xdr:col>7</xdr:col>
      <xdr:colOff>71490</xdr:colOff>
      <xdr:row>14</xdr:row>
      <xdr:rowOff>143687</xdr:rowOff>
    </xdr:to>
    <xdr:graphicFrame macro="">
      <xdr:nvGraphicFramePr>
        <xdr:cNvPr id="70" name="Chart 69">
          <a:extLst>
            <a:ext uri="{FF2B5EF4-FFF2-40B4-BE49-F238E27FC236}">
              <a16:creationId xmlns:a16="http://schemas.microsoft.com/office/drawing/2014/main" id="{AB5FEC10-4EFB-494A-A368-7A4E48CB2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21026</xdr:colOff>
      <xdr:row>14</xdr:row>
      <xdr:rowOff>115876</xdr:rowOff>
    </xdr:from>
    <xdr:to>
      <xdr:col>5</xdr:col>
      <xdr:colOff>513047</xdr:colOff>
      <xdr:row>15</xdr:row>
      <xdr:rowOff>111241</xdr:rowOff>
    </xdr:to>
    <xdr:sp macro="" textlink="">
      <xdr:nvSpPr>
        <xdr:cNvPr id="71" name="TextBox 70">
          <a:extLst>
            <a:ext uri="{FF2B5EF4-FFF2-40B4-BE49-F238E27FC236}">
              <a16:creationId xmlns:a16="http://schemas.microsoft.com/office/drawing/2014/main" id="{DDBC8239-9306-DEB7-7DFD-7B81A966BDC0}"/>
            </a:ext>
          </a:extLst>
        </xdr:cNvPr>
        <xdr:cNvSpPr txBox="1"/>
      </xdr:nvSpPr>
      <xdr:spPr>
        <a:xfrm>
          <a:off x="1856500" y="2711496"/>
          <a:ext cx="1715671" cy="18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 by Age Group</a:t>
          </a:r>
          <a:endParaRPr lang="en-IN" sz="900"/>
        </a:p>
      </xdr:txBody>
    </xdr:sp>
    <xdr:clientData/>
  </xdr:twoCellAnchor>
  <xdr:twoCellAnchor editAs="absolute">
    <xdr:from>
      <xdr:col>6</xdr:col>
      <xdr:colOff>596681</xdr:colOff>
      <xdr:row>0</xdr:row>
      <xdr:rowOff>158749</xdr:rowOff>
    </xdr:from>
    <xdr:to>
      <xdr:col>9</xdr:col>
      <xdr:colOff>202543</xdr:colOff>
      <xdr:row>6</xdr:row>
      <xdr:rowOff>5474</xdr:rowOff>
    </xdr:to>
    <xdr:graphicFrame macro="">
      <xdr:nvGraphicFramePr>
        <xdr:cNvPr id="72" name="Chart 71">
          <a:extLst>
            <a:ext uri="{FF2B5EF4-FFF2-40B4-BE49-F238E27FC236}">
              <a16:creationId xmlns:a16="http://schemas.microsoft.com/office/drawing/2014/main" id="{BC8F0717-432A-429C-9D5D-C58DAF0AE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635000</xdr:colOff>
      <xdr:row>0</xdr:row>
      <xdr:rowOff>100928</xdr:rowOff>
    </xdr:from>
    <xdr:to>
      <xdr:col>12</xdr:col>
      <xdr:colOff>180828</xdr:colOff>
      <xdr:row>7</xdr:row>
      <xdr:rowOff>134570</xdr:rowOff>
    </xdr:to>
    <xdr:graphicFrame macro="">
      <xdr:nvGraphicFramePr>
        <xdr:cNvPr id="73" name="Chart 72">
          <a:extLst>
            <a:ext uri="{FF2B5EF4-FFF2-40B4-BE49-F238E27FC236}">
              <a16:creationId xmlns:a16="http://schemas.microsoft.com/office/drawing/2014/main" id="{AE423FF4-8539-45B3-93D7-F5FE64FB1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115453</xdr:colOff>
      <xdr:row>8</xdr:row>
      <xdr:rowOff>72159</xdr:rowOff>
    </xdr:from>
    <xdr:to>
      <xdr:col>11</xdr:col>
      <xdr:colOff>355984</xdr:colOff>
      <xdr:row>14</xdr:row>
      <xdr:rowOff>106606</xdr:rowOff>
    </xdr:to>
    <xdr:graphicFrame macro="">
      <xdr:nvGraphicFramePr>
        <xdr:cNvPr id="74" name="Chart 73">
          <a:extLst>
            <a:ext uri="{FF2B5EF4-FFF2-40B4-BE49-F238E27FC236}">
              <a16:creationId xmlns:a16="http://schemas.microsoft.com/office/drawing/2014/main" id="{D35EBCC6-A7AC-45DD-9B1F-4DD41DE0D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126159</xdr:colOff>
      <xdr:row>14</xdr:row>
      <xdr:rowOff>74161</xdr:rowOff>
    </xdr:from>
    <xdr:to>
      <xdr:col>11</xdr:col>
      <xdr:colOff>105133</xdr:colOff>
      <xdr:row>15</xdr:row>
      <xdr:rowOff>78796</xdr:rowOff>
    </xdr:to>
    <xdr:sp macro="" textlink="">
      <xdr:nvSpPr>
        <xdr:cNvPr id="75" name="TextBox 74">
          <a:extLst>
            <a:ext uri="{FF2B5EF4-FFF2-40B4-BE49-F238E27FC236}">
              <a16:creationId xmlns:a16="http://schemas.microsoft.com/office/drawing/2014/main" id="{EDF09A78-C370-9776-6D44-4EC03EEF5DAB}"/>
            </a:ext>
          </a:extLst>
        </xdr:cNvPr>
        <xdr:cNvSpPr txBox="1"/>
      </xdr:nvSpPr>
      <xdr:spPr>
        <a:xfrm>
          <a:off x="5020758" y="2669781"/>
          <a:ext cx="1907149" cy="19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No. of Patient</a:t>
          </a:r>
          <a:r>
            <a:rPr lang="en-IN" sz="900" baseline="0"/>
            <a:t> by Department Referral</a:t>
          </a:r>
          <a:endParaRPr lang="en-IN" sz="900"/>
        </a:p>
      </xdr:txBody>
    </xdr:sp>
    <xdr:clientData/>
  </xdr:twoCellAnchor>
  <xdr:twoCellAnchor editAs="oneCell">
    <xdr:from>
      <xdr:col>4</xdr:col>
      <xdr:colOff>582082</xdr:colOff>
      <xdr:row>1</xdr:row>
      <xdr:rowOff>101023</xdr:rowOff>
    </xdr:from>
    <xdr:to>
      <xdr:col>7</xdr:col>
      <xdr:colOff>33672</xdr:colOff>
      <xdr:row>3</xdr:row>
      <xdr:rowOff>52917</xdr:rowOff>
    </xdr:to>
    <mc:AlternateContent xmlns:mc="http://schemas.openxmlformats.org/markup-compatibility/2006">
      <mc:Choice xmlns:a14="http://schemas.microsoft.com/office/drawing/2010/main" Requires="a14">
        <xdr:graphicFrame macro="">
          <xdr:nvGraphicFramePr>
            <xdr:cNvPr id="76" name="Date (Year)">
              <a:extLst>
                <a:ext uri="{FF2B5EF4-FFF2-40B4-BE49-F238E27FC236}">
                  <a16:creationId xmlns:a16="http://schemas.microsoft.com/office/drawing/2014/main" id="{53D5A338-CE5B-4130-B95D-8F167248938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028008" y="285251"/>
              <a:ext cx="1286034" cy="320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71490</xdr:colOff>
      <xdr:row>3</xdr:row>
      <xdr:rowOff>117293</xdr:rowOff>
    </xdr:from>
    <xdr:to>
      <xdr:col>1</xdr:col>
      <xdr:colOff>252543</xdr:colOff>
      <xdr:row>15</xdr:row>
      <xdr:rowOff>76847</xdr:rowOff>
    </xdr:to>
    <mc:AlternateContent xmlns:mc="http://schemas.openxmlformats.org/markup-compatibility/2006">
      <mc:Choice xmlns:a14="http://schemas.microsoft.com/office/drawing/2010/main" Requires="a14">
        <xdr:graphicFrame macro="">
          <xdr:nvGraphicFramePr>
            <xdr:cNvPr id="57" name="Date (Month) 1">
              <a:extLst>
                <a:ext uri="{FF2B5EF4-FFF2-40B4-BE49-F238E27FC236}">
                  <a16:creationId xmlns:a16="http://schemas.microsoft.com/office/drawing/2014/main" id="{318576DA-0F80-4EA4-B606-75D0EEBA2AB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71490" y="669978"/>
              <a:ext cx="792534" cy="2170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107950</xdr:colOff>
      <xdr:row>1</xdr:row>
      <xdr:rowOff>19050</xdr:rowOff>
    </xdr:from>
    <xdr:to>
      <xdr:col>14</xdr:col>
      <xdr:colOff>495300</xdr:colOff>
      <xdr:row>18</xdr:row>
      <xdr:rowOff>165100</xdr:rowOff>
    </xdr:to>
    <xdr:graphicFrame macro="">
      <xdr:nvGraphicFramePr>
        <xdr:cNvPr id="2" name="Chart 1">
          <a:extLst>
            <a:ext uri="{FF2B5EF4-FFF2-40B4-BE49-F238E27FC236}">
              <a16:creationId xmlns:a16="http://schemas.microsoft.com/office/drawing/2014/main" id="{0C0AB3F6-7C05-493E-9C9B-7F09E1759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0.93025</cdr:x>
      <cdr:y>0</cdr:y>
    </cdr:from>
    <cdr:to>
      <cdr:x>0.98861</cdr:x>
      <cdr:y>0.15891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B7C746C-FBE7-233D-B093-896D2320F7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299450" y="0"/>
          <a:ext cx="520700" cy="5207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5532406" createdVersion="5" refreshedVersion="8" minRefreshableVersion="3" recordCount="0" supportSubquery="1" supportAdvancedDrill="1" xr:uid="{C53FC904-480B-4A24-881F-62AF3E82F531}">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5648145" createdVersion="5" refreshedVersion="8" minRefreshableVersion="3" recordCount="0" supportSubquery="1" supportAdvancedDrill="1" xr:uid="{54C3B478-CA0F-4A70-9416-FACB0FD651C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587963" createdVersion="5" refreshedVersion="8" minRefreshableVersion="3" recordCount="0" supportSubquery="1" supportAdvancedDrill="1" xr:uid="{A3BAD25B-3EF1-4C2C-84A7-E9C8DC9DB71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6226853" createdVersion="5" refreshedVersion="8" minRefreshableVersion="3" recordCount="0" supportSubquery="1" supportAdvancedDrill="1" xr:uid="{177F151F-1F7C-45FB-A9E7-B8CA6D70978B}">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6342591" createdVersion="5" refreshedVersion="8" minRefreshableVersion="3" recordCount="0" supportSubquery="1" supportAdvancedDrill="1" xr:uid="{0CC3B1A4-61E7-4A19-8B06-3A7302BC128E}">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6342591" createdVersion="5" refreshedVersion="8" minRefreshableVersion="3" recordCount="0" supportSubquery="1" supportAdvancedDrill="1" xr:uid="{3A0EABE6-5167-42DA-AE22-22E00044DD35}">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6689815" createdVersion="5" refreshedVersion="8" minRefreshableVersion="3" recordCount="0" supportSubquery="1" supportAdvancedDrill="1" xr:uid="{BD2B4204-3188-4684-B30C-1A228923E253}">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7152777" createdVersion="5" refreshedVersion="8" minRefreshableVersion="3" recordCount="0" supportSubquery="1" supportAdvancedDrill="1" xr:uid="{F5375812-1F0F-470F-8425-A994AACD11FA}">
  <cacheSource type="external" connectionId="3"/>
  <cacheFields count="4">
    <cacheField name="[calende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Apr"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75" createdVersion="5" refreshedVersion="8" minRefreshableVersion="3" recordCount="0" supportSubquery="1" supportAdvancedDrill="1" xr:uid="{315CF9C2-F057-4B78-89EB-2DA65AE12C80}">
  <cacheSource type="external" connectionId="3"/>
  <cacheFields count="4">
    <cacheField name="[calende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Apr" u="1"/>
      </sharedItems>
    </cacheField>
    <cacheField name="[calender_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7847223" createdVersion="5" refreshedVersion="8" minRefreshableVersion="3" recordCount="0" supportSubquery="1" supportAdvancedDrill="1" xr:uid="{09E7B91B-B47E-4138-8A6A-B7410C4E8456}">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8194446" createdVersion="5" refreshedVersion="8" minRefreshableVersion="3" recordCount="0" supportSubquery="1" supportAdvancedDrill="1" xr:uid="{233D81D6-2B6F-4A43-B3B9-1F439DA46936}">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65823854167" createdVersion="5" refreshedVersion="8" minRefreshableVersion="3" recordCount="0" supportSubquery="1" supportAdvancedDrill="1" xr:uid="{445B95C5-E031-497C-A659-053FAD2BD6D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89.402571990744" createdVersion="3" refreshedVersion="8" minRefreshableVersion="3" recordCount="0" supportSubquery="1" supportAdvancedDrill="1" xr:uid="{77596F72-D08F-42E2-AB4B-7C95E7837C2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15627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95E7A-6AC9-4170-B825-339039545606}" name="PivotTable12" cacheId="3353"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chartFormat="47">
  <location ref="A89:A9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14">
      <pivotArea outline="0" collapsedLevelsAreSubtotals="1" fieldPosition="0"/>
    </format>
  </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20B9D-861F-4975-9F77-F238B9BC58C3}" name="PivotTable11" cacheId="3362"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chartFormat="47">
  <location ref="A76:B8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315">
      <pivotArea outline="0" collapsedLevelsAreSubtotals="1" fieldPosition="0"/>
    </format>
  </formats>
  <chartFormats count="1">
    <chartFormat chart="4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6C6165-E6E3-4A3A-8E0E-4073957DA67F}" name="PivotTable10" cacheId="3359"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chartFormat="42">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16">
      <pivotArea outline="0" collapsedLevelsAreSubtotals="1" fieldPosition="0"/>
    </format>
  </formats>
  <chartFormats count="3">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1" count="1" selected="0">
            <x v="0"/>
          </reference>
        </references>
      </pivotArea>
    </chartFormat>
    <chartFormat chart="4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18FF7-1A52-448A-AD30-DF2A7EAB83BF}" name="PivotTable9" cacheId="3386"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chartFormat="34">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17">
      <pivotArea outline="0" collapsedLevelsAreSubtotals="1"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1CB11A-BFD3-4011-B405-72E40DC45D9B}" name="PivotTable8" cacheId="3383"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chartFormat="28">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318">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E06092-D17E-45C7-9117-A5100F02C53E}" name="PivotTable7" cacheId="3380"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chartFormat="24">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20">
      <pivotArea outline="0" collapsedLevelsAreSubtotals="1" fieldPosition="0"/>
    </format>
    <format dxfId="31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D3EDE8-B0C2-4A88-86B4-361E2DF2D0AF}" name="PivotTable6" cacheId="3377" applyNumberFormats="0" applyBorderFormats="0" applyFontFormats="0" applyPatternFormats="0" applyAlignmentFormats="0" applyWidthHeightFormats="1" dataCaption="Values" tag="e255b3b0-69e5-4a6e-823b-37c499804c71" updatedVersion="8" minRefreshableVersion="3" subtotalHiddenItems="1" itemPrintTitles="1" createdVersion="5" indent="0" outline="1" outlineData="1" multipleFieldFilters="0" chartFormat="39">
  <location ref="J4:K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dataFields>
  <formats count="2">
    <format dxfId="321">
      <pivotArea collapsedLevelsAreSubtotals="1" fieldPosition="0">
        <references count="1">
          <reference field="0" count="1">
            <x v="31"/>
          </reference>
        </references>
      </pivotArea>
    </format>
    <format dxfId="322">
      <pivotArea outline="0" collapsedLevelsAreSubtotals="1" fieldPosition="0"/>
    </format>
  </formats>
  <chartFormats count="2">
    <chartFormat chart="30" format="4"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850454-9974-4E4E-95AE-BD9A4F78E045}" name="PivotTable5" cacheId="3374" applyNumberFormats="0" applyBorderFormats="0" applyFontFormats="0" applyPatternFormats="0" applyAlignmentFormats="0" applyWidthHeightFormats="1" dataCaption="Values" tag="e255b3b0-69e5-4a6e-823b-37c499804c71" updatedVersion="8" minRefreshableVersion="3" subtotalHiddenItems="1" itemPrintTitles="1" createdVersion="5" indent="0" outline="1" outlineData="1" multipleFieldFilters="0" chartFormat="24">
  <location ref="G4:H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324">
      <pivotArea collapsedLevelsAreSubtotals="1" fieldPosition="0">
        <references count="1">
          <reference field="0" count="1">
            <x v="31"/>
          </reference>
        </references>
      </pivotArea>
    </format>
    <format dxfId="323">
      <pivotArea outline="0" collapsedLevelsAreSubtotals="1" fieldPosition="0"/>
    </format>
  </formats>
  <chartFormats count="4">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166956-7254-4E88-A17A-C85B81D11DE7}" name="PivotTable4" cacheId="3371" applyNumberFormats="0" applyBorderFormats="0" applyFontFormats="0" applyPatternFormats="0" applyAlignmentFormats="0" applyWidthHeightFormats="1" dataCaption="Values" tag="e255b3b0-69e5-4a6e-823b-37c499804c71" updatedVersion="8" minRefreshableVersion="3" subtotalHiddenItems="1" itemPrintTitles="1" createdVersion="5" indent="0" outline="1" outlineData="1" multipleFieldFilters="0" chartFormat="13">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ECA677-AAA3-421B-9B60-FB42AEA50CD6}" name="PivotTable3" cacheId="3368" applyNumberFormats="0" applyBorderFormats="0" applyFontFormats="0" applyPatternFormats="0" applyAlignmentFormats="0" applyWidthHeightFormats="1" dataCaption="Values" tag="c0b01e6b-5c73-49fb-9c95-cd3868a41bc2"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25">
      <pivotArea outline="0" collapsedLevelsAreSubtotals="1" fieldPosition="0"/>
    </format>
  </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D673F5-669A-4E62-B618-CAA1264D5CFC}" name="PivotTable2" cacheId="3365" applyNumberFormats="0" applyBorderFormats="0" applyFontFormats="0" applyPatternFormats="0" applyAlignmentFormats="0" applyWidthHeightFormats="1" dataCaption="Values" tag="89986df7-53d9-4a4d-ab6f-16392027c7d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6">
      <pivotArea outline="0" collapsedLevelsAreSubtotals="1" fieldPosition="0"/>
    </format>
  </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A20B05-9755-460B-BDE7-CA83B0D4F1C7}" name="PivotTable1" cacheId="3356" applyNumberFormats="0" applyBorderFormats="0" applyFontFormats="0" applyPatternFormats="0" applyAlignmentFormats="0" applyWidthHeightFormats="1" dataCaption="Values" tag="e255b3b0-69e5-4a6e-823b-37c499804c71"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93524C3-F36F-4675-A4D5-5DC6CFB28EA7}"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1562763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0EB4FE1-E255-4790-BD8D-96AC434DEE30}"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1562763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D44BAE0-AEDF-4E41-A198-5DED6517A077}" cache="Slicer_Date__Month" caption="Date (Month)" showCaption="0" level="1" rowHeight="144000"/>
  <slicer name="Date (Year)" xr10:uid="{29FF9C91-6884-40CD-8E97-A7AAD102358A}" cache="Slicer_Date__Year" caption="Date (Year)" columnCount="2" showCaption="0" level="1" rowHeight="1566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2ACE-4BAA-4ED6-A2DE-7B2E4F027649}">
  <dimension ref="A3:K91"/>
  <sheetViews>
    <sheetView workbookViewId="0">
      <selection activeCell="E50" sqref="E50"/>
    </sheetView>
  </sheetViews>
  <sheetFormatPr defaultRowHeight="14.5" x14ac:dyDescent="0.35"/>
  <cols>
    <col min="1" max="1" width="16.1796875" customWidth="1"/>
    <col min="2" max="2" width="14" customWidth="1"/>
    <col min="3" max="3" width="14.453125" customWidth="1"/>
    <col min="4" max="4" width="12.08984375" customWidth="1"/>
    <col min="5" max="5" width="8.7265625" customWidth="1"/>
    <col min="7" max="7" width="11.54296875" customWidth="1"/>
    <col min="8" max="8" width="24.81640625" bestFit="1" customWidth="1"/>
    <col min="11" max="11" width="27.6328125" customWidth="1"/>
  </cols>
  <sheetData>
    <row r="3" spans="1:11" x14ac:dyDescent="0.35">
      <c r="A3" t="s">
        <v>1</v>
      </c>
    </row>
    <row r="4" spans="1:11" x14ac:dyDescent="0.35">
      <c r="A4" t="s">
        <v>0</v>
      </c>
      <c r="C4" s="3" t="s">
        <v>21</v>
      </c>
      <c r="D4" t="s">
        <v>0</v>
      </c>
      <c r="G4" s="3" t="s">
        <v>21</v>
      </c>
      <c r="H4" t="s">
        <v>2</v>
      </c>
      <c r="J4" s="3" t="s">
        <v>21</v>
      </c>
      <c r="K4" t="s">
        <v>53</v>
      </c>
    </row>
    <row r="5" spans="1:11" x14ac:dyDescent="0.35">
      <c r="A5" s="4">
        <v>488</v>
      </c>
      <c r="C5" s="5" t="s">
        <v>22</v>
      </c>
      <c r="D5" s="4">
        <v>17</v>
      </c>
      <c r="G5" s="5" t="s">
        <v>22</v>
      </c>
      <c r="H5" s="1">
        <v>36.941176470588232</v>
      </c>
      <c r="J5" s="5" t="s">
        <v>22</v>
      </c>
      <c r="K5" s="1">
        <v>33</v>
      </c>
    </row>
    <row r="6" spans="1:11" x14ac:dyDescent="0.35">
      <c r="C6" s="5" t="s">
        <v>23</v>
      </c>
      <c r="D6" s="4">
        <v>19</v>
      </c>
      <c r="G6" s="5" t="s">
        <v>23</v>
      </c>
      <c r="H6" s="1">
        <v>30.842105263157894</v>
      </c>
      <c r="J6" s="5" t="s">
        <v>23</v>
      </c>
      <c r="K6" s="1">
        <v>16</v>
      </c>
    </row>
    <row r="7" spans="1:11" x14ac:dyDescent="0.35">
      <c r="C7" s="5" t="s">
        <v>24</v>
      </c>
      <c r="D7" s="4">
        <v>12</v>
      </c>
      <c r="G7" s="5" t="s">
        <v>24</v>
      </c>
      <c r="H7" s="1">
        <v>31.833333333333332</v>
      </c>
      <c r="J7" s="5" t="s">
        <v>24</v>
      </c>
      <c r="K7" s="1">
        <v>19</v>
      </c>
    </row>
    <row r="8" spans="1:11" x14ac:dyDescent="0.35">
      <c r="A8" t="s">
        <v>2</v>
      </c>
      <c r="C8" s="5" t="s">
        <v>25</v>
      </c>
      <c r="D8" s="4">
        <v>9</v>
      </c>
      <c r="G8" s="5" t="s">
        <v>25</v>
      </c>
      <c r="H8" s="1">
        <v>33.777777777777779</v>
      </c>
      <c r="J8" s="5" t="s">
        <v>25</v>
      </c>
      <c r="K8" s="1">
        <v>8</v>
      </c>
    </row>
    <row r="9" spans="1:11" x14ac:dyDescent="0.35">
      <c r="A9" s="1">
        <v>35.19877049180328</v>
      </c>
      <c r="C9" s="5" t="s">
        <v>26</v>
      </c>
      <c r="D9" s="4">
        <v>15</v>
      </c>
      <c r="G9" s="5" t="s">
        <v>26</v>
      </c>
      <c r="H9" s="1">
        <v>30.466666666666665</v>
      </c>
      <c r="J9" s="5" t="s">
        <v>26</v>
      </c>
      <c r="K9" s="1">
        <v>32</v>
      </c>
    </row>
    <row r="10" spans="1:11" x14ac:dyDescent="0.35">
      <c r="C10" s="5" t="s">
        <v>27</v>
      </c>
      <c r="D10" s="4">
        <v>10</v>
      </c>
      <c r="G10" s="5" t="s">
        <v>27</v>
      </c>
      <c r="H10" s="1">
        <v>38.799999999999997</v>
      </c>
      <c r="J10" s="5" t="s">
        <v>27</v>
      </c>
      <c r="K10" s="1">
        <v>7</v>
      </c>
    </row>
    <row r="11" spans="1:11" x14ac:dyDescent="0.35">
      <c r="C11" s="5" t="s">
        <v>28</v>
      </c>
      <c r="D11" s="4">
        <v>18</v>
      </c>
      <c r="G11" s="5" t="s">
        <v>28</v>
      </c>
      <c r="H11" s="1">
        <v>30.277777777777779</v>
      </c>
      <c r="J11" s="5" t="s">
        <v>28</v>
      </c>
      <c r="K11" s="1">
        <v>14</v>
      </c>
    </row>
    <row r="12" spans="1:11" x14ac:dyDescent="0.35">
      <c r="A12" t="s">
        <v>3</v>
      </c>
      <c r="C12" s="5" t="s">
        <v>29</v>
      </c>
      <c r="D12" s="4">
        <v>19</v>
      </c>
      <c r="G12" s="5" t="s">
        <v>29</v>
      </c>
      <c r="H12" s="1">
        <v>35.157894736842103</v>
      </c>
      <c r="J12" s="5" t="s">
        <v>29</v>
      </c>
      <c r="K12" s="1">
        <v>28</v>
      </c>
    </row>
    <row r="13" spans="1:11" x14ac:dyDescent="0.35">
      <c r="A13" s="1">
        <v>4.7876712328767121</v>
      </c>
      <c r="C13" s="5" t="s">
        <v>30</v>
      </c>
      <c r="D13" s="4">
        <v>19</v>
      </c>
      <c r="G13" s="5" t="s">
        <v>30</v>
      </c>
      <c r="H13" s="1">
        <v>37.94736842105263</v>
      </c>
      <c r="J13" s="5" t="s">
        <v>30</v>
      </c>
      <c r="K13" s="1">
        <v>32</v>
      </c>
    </row>
    <row r="14" spans="1:11" x14ac:dyDescent="0.35">
      <c r="C14" s="5" t="s">
        <v>31</v>
      </c>
      <c r="D14" s="4">
        <v>13</v>
      </c>
      <c r="G14" s="5" t="s">
        <v>31</v>
      </c>
      <c r="H14" s="1">
        <v>33.92307692307692</v>
      </c>
      <c r="J14" s="5" t="s">
        <v>31</v>
      </c>
      <c r="K14" s="1">
        <v>14</v>
      </c>
    </row>
    <row r="15" spans="1:11" x14ac:dyDescent="0.35">
      <c r="C15" s="5" t="s">
        <v>32</v>
      </c>
      <c r="D15" s="4">
        <v>15</v>
      </c>
      <c r="G15" s="5" t="s">
        <v>32</v>
      </c>
      <c r="H15" s="1">
        <v>33.200000000000003</v>
      </c>
      <c r="J15" s="5" t="s">
        <v>32</v>
      </c>
      <c r="K15" s="1">
        <v>39</v>
      </c>
    </row>
    <row r="16" spans="1:11" x14ac:dyDescent="0.35">
      <c r="C16" s="5" t="s">
        <v>33</v>
      </c>
      <c r="D16" s="4">
        <v>25</v>
      </c>
      <c r="G16" s="5" t="s">
        <v>33</v>
      </c>
      <c r="H16" s="1">
        <v>40.159999999999997</v>
      </c>
      <c r="J16" s="5" t="s">
        <v>33</v>
      </c>
      <c r="K16" s="1">
        <v>37</v>
      </c>
    </row>
    <row r="17" spans="3:11" x14ac:dyDescent="0.35">
      <c r="C17" s="5" t="s">
        <v>34</v>
      </c>
      <c r="D17" s="4">
        <v>19</v>
      </c>
      <c r="G17" s="5" t="s">
        <v>34</v>
      </c>
      <c r="H17" s="1">
        <v>41.578947368421055</v>
      </c>
      <c r="J17" s="5" t="s">
        <v>34</v>
      </c>
      <c r="K17" s="1">
        <v>13</v>
      </c>
    </row>
    <row r="18" spans="3:11" x14ac:dyDescent="0.35">
      <c r="C18" s="5" t="s">
        <v>35</v>
      </c>
      <c r="D18" s="4">
        <v>15</v>
      </c>
      <c r="G18" s="5" t="s">
        <v>35</v>
      </c>
      <c r="H18" s="1">
        <v>36.866666666666667</v>
      </c>
      <c r="J18" s="5" t="s">
        <v>35</v>
      </c>
      <c r="K18" s="1">
        <v>15</v>
      </c>
    </row>
    <row r="19" spans="3:11" x14ac:dyDescent="0.35">
      <c r="C19" s="5" t="s">
        <v>36</v>
      </c>
      <c r="D19" s="4">
        <v>14</v>
      </c>
      <c r="G19" s="5" t="s">
        <v>36</v>
      </c>
      <c r="H19" s="1">
        <v>33.714285714285715</v>
      </c>
      <c r="J19" s="5" t="s">
        <v>36</v>
      </c>
      <c r="K19" s="1">
        <v>13</v>
      </c>
    </row>
    <row r="20" spans="3:11" x14ac:dyDescent="0.35">
      <c r="C20" s="5" t="s">
        <v>37</v>
      </c>
      <c r="D20" s="4">
        <v>20</v>
      </c>
      <c r="G20" s="5" t="s">
        <v>37</v>
      </c>
      <c r="H20" s="1">
        <v>33.700000000000003</v>
      </c>
      <c r="J20" s="5" t="s">
        <v>37</v>
      </c>
      <c r="K20" s="1">
        <v>10</v>
      </c>
    </row>
    <row r="21" spans="3:11" x14ac:dyDescent="0.35">
      <c r="C21" s="5" t="s">
        <v>38</v>
      </c>
      <c r="D21" s="4">
        <v>14</v>
      </c>
      <c r="G21" s="5" t="s">
        <v>38</v>
      </c>
      <c r="H21" s="1">
        <v>34.642857142857146</v>
      </c>
      <c r="J21" s="5" t="s">
        <v>38</v>
      </c>
      <c r="K21" s="1">
        <v>18</v>
      </c>
    </row>
    <row r="22" spans="3:11" x14ac:dyDescent="0.35">
      <c r="C22" s="5" t="s">
        <v>39</v>
      </c>
      <c r="D22" s="4">
        <v>14</v>
      </c>
      <c r="G22" s="5" t="s">
        <v>39</v>
      </c>
      <c r="H22" s="1">
        <v>36.5</v>
      </c>
      <c r="J22" s="5" t="s">
        <v>39</v>
      </c>
      <c r="K22" s="1">
        <v>15</v>
      </c>
    </row>
    <row r="23" spans="3:11" x14ac:dyDescent="0.35">
      <c r="C23" s="5" t="s">
        <v>40</v>
      </c>
      <c r="D23" s="4">
        <v>17</v>
      </c>
      <c r="G23" s="5" t="s">
        <v>40</v>
      </c>
      <c r="H23" s="1">
        <v>33.058823529411768</v>
      </c>
      <c r="J23" s="5" t="s">
        <v>40</v>
      </c>
      <c r="K23" s="1">
        <v>25</v>
      </c>
    </row>
    <row r="24" spans="3:11" x14ac:dyDescent="0.35">
      <c r="C24" s="5" t="s">
        <v>41</v>
      </c>
      <c r="D24" s="4">
        <v>16</v>
      </c>
      <c r="G24" s="5" t="s">
        <v>41</v>
      </c>
      <c r="H24" s="1">
        <v>33.5625</v>
      </c>
      <c r="J24" s="5" t="s">
        <v>41</v>
      </c>
      <c r="K24" s="1">
        <v>30</v>
      </c>
    </row>
    <row r="25" spans="3:11" x14ac:dyDescent="0.35">
      <c r="C25" s="5" t="s">
        <v>42</v>
      </c>
      <c r="D25" s="4">
        <v>18</v>
      </c>
      <c r="G25" s="5" t="s">
        <v>42</v>
      </c>
      <c r="H25" s="1">
        <v>31.555555555555557</v>
      </c>
      <c r="J25" s="5" t="s">
        <v>42</v>
      </c>
      <c r="K25" s="1">
        <v>14</v>
      </c>
    </row>
    <row r="26" spans="3:11" x14ac:dyDescent="0.35">
      <c r="C26" s="5" t="s">
        <v>43</v>
      </c>
      <c r="D26" s="4">
        <v>8</v>
      </c>
      <c r="G26" s="5" t="s">
        <v>43</v>
      </c>
      <c r="H26" s="1">
        <v>38.375</v>
      </c>
      <c r="J26" s="5" t="s">
        <v>43</v>
      </c>
      <c r="K26" s="1">
        <v>15</v>
      </c>
    </row>
    <row r="27" spans="3:11" x14ac:dyDescent="0.35">
      <c r="C27" s="5" t="s">
        <v>44</v>
      </c>
      <c r="D27" s="4">
        <v>17</v>
      </c>
      <c r="G27" s="5" t="s">
        <v>44</v>
      </c>
      <c r="H27" s="1">
        <v>35.411764705882355</v>
      </c>
      <c r="J27" s="5" t="s">
        <v>44</v>
      </c>
      <c r="K27" s="1">
        <v>13</v>
      </c>
    </row>
    <row r="28" spans="3:11" x14ac:dyDescent="0.35">
      <c r="C28" s="5" t="s">
        <v>45</v>
      </c>
      <c r="D28" s="4">
        <v>11</v>
      </c>
      <c r="G28" s="5" t="s">
        <v>45</v>
      </c>
      <c r="H28" s="1">
        <v>34.909090909090907</v>
      </c>
      <c r="J28" s="5" t="s">
        <v>45</v>
      </c>
      <c r="K28" s="1">
        <v>14</v>
      </c>
    </row>
    <row r="29" spans="3:11" x14ac:dyDescent="0.35">
      <c r="C29" s="5" t="s">
        <v>46</v>
      </c>
      <c r="D29" s="4">
        <v>15</v>
      </c>
      <c r="G29" s="5" t="s">
        <v>46</v>
      </c>
      <c r="H29" s="1">
        <v>35.133333333333333</v>
      </c>
      <c r="J29" s="5" t="s">
        <v>46</v>
      </c>
      <c r="K29" s="1">
        <v>18</v>
      </c>
    </row>
    <row r="30" spans="3:11" x14ac:dyDescent="0.35">
      <c r="C30" s="5" t="s">
        <v>47</v>
      </c>
      <c r="D30" s="4">
        <v>13</v>
      </c>
      <c r="G30" s="5" t="s">
        <v>47</v>
      </c>
      <c r="H30" s="1">
        <v>35.07692307692308</v>
      </c>
      <c r="J30" s="5" t="s">
        <v>47</v>
      </c>
      <c r="K30" s="1">
        <v>6</v>
      </c>
    </row>
    <row r="31" spans="3:11" x14ac:dyDescent="0.35">
      <c r="C31" s="5" t="s">
        <v>48</v>
      </c>
      <c r="D31" s="4">
        <v>17</v>
      </c>
      <c r="G31" s="5" t="s">
        <v>48</v>
      </c>
      <c r="H31" s="1">
        <v>35.352941176470587</v>
      </c>
      <c r="J31" s="5" t="s">
        <v>48</v>
      </c>
      <c r="K31" s="1">
        <v>62</v>
      </c>
    </row>
    <row r="32" spans="3:11" x14ac:dyDescent="0.35">
      <c r="C32" s="5" t="s">
        <v>49</v>
      </c>
      <c r="D32" s="4">
        <v>20</v>
      </c>
      <c r="G32" s="5" t="s">
        <v>49</v>
      </c>
      <c r="H32" s="1">
        <v>36.6</v>
      </c>
      <c r="J32" s="5" t="s">
        <v>49</v>
      </c>
      <c r="K32" s="1">
        <v>46</v>
      </c>
    </row>
    <row r="33" spans="1:11" x14ac:dyDescent="0.35">
      <c r="C33" s="5" t="s">
        <v>50</v>
      </c>
      <c r="D33" s="4">
        <v>20</v>
      </c>
      <c r="G33" s="5" t="s">
        <v>50</v>
      </c>
      <c r="H33" s="1">
        <v>35.799999999999997</v>
      </c>
      <c r="J33" s="5" t="s">
        <v>50</v>
      </c>
      <c r="K33" s="1">
        <v>41</v>
      </c>
    </row>
    <row r="34" spans="1:11" x14ac:dyDescent="0.35">
      <c r="C34" s="5" t="s">
        <v>51</v>
      </c>
      <c r="D34" s="4">
        <v>13</v>
      </c>
      <c r="G34" s="5" t="s">
        <v>51</v>
      </c>
      <c r="H34" s="1">
        <v>30.307692307692307</v>
      </c>
      <c r="J34" s="5" t="s">
        <v>51</v>
      </c>
      <c r="K34" s="1">
        <v>25</v>
      </c>
    </row>
    <row r="35" spans="1:11" x14ac:dyDescent="0.35">
      <c r="C35" s="5" t="s">
        <v>52</v>
      </c>
      <c r="D35" s="4">
        <v>16</v>
      </c>
      <c r="G35" s="5" t="s">
        <v>52</v>
      </c>
      <c r="H35" s="1">
        <v>42.75</v>
      </c>
      <c r="J35" s="5" t="s">
        <v>52</v>
      </c>
      <c r="K35" s="1">
        <v>27</v>
      </c>
    </row>
    <row r="36" spans="1:11" x14ac:dyDescent="0.35">
      <c r="C36" s="5" t="s">
        <v>19</v>
      </c>
      <c r="D36" s="4">
        <v>488</v>
      </c>
      <c r="G36" s="5" t="s">
        <v>19</v>
      </c>
      <c r="H36" s="1">
        <v>35.19877049180328</v>
      </c>
      <c r="J36" s="5" t="s">
        <v>19</v>
      </c>
      <c r="K36" s="1">
        <v>699</v>
      </c>
    </row>
    <row r="38" spans="1:11" x14ac:dyDescent="0.35">
      <c r="A38" s="3" t="s">
        <v>21</v>
      </c>
      <c r="B38" t="s">
        <v>54</v>
      </c>
      <c r="C38" t="s">
        <v>55</v>
      </c>
    </row>
    <row r="39" spans="1:11" x14ac:dyDescent="0.35">
      <c r="A39" s="5" t="s">
        <v>6</v>
      </c>
      <c r="B39" s="1">
        <v>266</v>
      </c>
      <c r="C39" s="6">
        <v>0.54508196721311475</v>
      </c>
    </row>
    <row r="40" spans="1:11" x14ac:dyDescent="0.35">
      <c r="A40" s="5" t="s">
        <v>18</v>
      </c>
      <c r="B40" s="1">
        <v>222</v>
      </c>
      <c r="C40" s="6">
        <v>0.45491803278688525</v>
      </c>
    </row>
    <row r="41" spans="1:11" x14ac:dyDescent="0.35">
      <c r="A41" s="5" t="s">
        <v>19</v>
      </c>
      <c r="B41" s="1">
        <v>488</v>
      </c>
      <c r="C41" s="6">
        <v>1</v>
      </c>
    </row>
    <row r="45" spans="1:11" x14ac:dyDescent="0.35">
      <c r="A45" s="11" t="s">
        <v>56</v>
      </c>
      <c r="B45" s="11" t="s">
        <v>58</v>
      </c>
      <c r="C45" s="11" t="s">
        <v>57</v>
      </c>
      <c r="D45" s="10"/>
      <c r="E45" s="10"/>
    </row>
    <row r="46" spans="1:11" x14ac:dyDescent="0.35">
      <c r="A46" s="8" t="str">
        <f>A40</f>
        <v>Not admitted</v>
      </c>
      <c r="B46" s="8">
        <f>GETPIVOTDATA("[Measures].[Count of Patient Admission Flag]",$A$38,"[Hospital Emergency Room Data].[Patient Admission Flag]","[Hospital Emergency Room Data].[Patient Admission Flag].&amp;[Not admitted]")</f>
        <v>222</v>
      </c>
      <c r="C46" s="8">
        <f>GETPIVOTDATA("[__Xl2].[Measures].[Count of Patient Admission Flag]",$A$38,"[Hospital Emergency Room Data].[Patient Admission Flag]","[Hospital Emergency Room Data].[Patient Admission Flag].&amp;[Not admitted]")</f>
        <v>0.45491803278688525</v>
      </c>
      <c r="D46" s="7"/>
      <c r="E46" s="7"/>
    </row>
    <row r="47" spans="1:11" x14ac:dyDescent="0.35">
      <c r="A47" s="8" t="str">
        <f>A39</f>
        <v>Admitted</v>
      </c>
      <c r="B47" s="8">
        <f>GETPIVOTDATA("[Measures].[Count of Patient Admission Flag]",$A$38,"[Hospital Emergency Room Data].[Patient Admission Flag]","[Hospital Emergency Room Data].[Patient Admission Flag].&amp;[Admitted]")</f>
        <v>266</v>
      </c>
      <c r="C47" s="8">
        <f>GETPIVOTDATA("[__Xl2].[Measures].[Count of Patient Admission Flag]",$A$38,"[Hospital Emergency Room Data].[Patient Admission Flag]","[Hospital Emergency Room Data].[Patient Admission Flag].&amp;[Admitted]")</f>
        <v>0.54508196721311475</v>
      </c>
      <c r="D47" s="7"/>
      <c r="E47" s="7"/>
    </row>
    <row r="51" spans="1:2" x14ac:dyDescent="0.35">
      <c r="A51" s="3" t="s">
        <v>21</v>
      </c>
      <c r="B51" t="s">
        <v>59</v>
      </c>
    </row>
    <row r="52" spans="1:2" x14ac:dyDescent="0.35">
      <c r="A52" s="5" t="s">
        <v>15</v>
      </c>
      <c r="B52" s="9">
        <v>62</v>
      </c>
    </row>
    <row r="53" spans="1:2" x14ac:dyDescent="0.35">
      <c r="A53" s="5" t="s">
        <v>10</v>
      </c>
      <c r="B53" s="9">
        <v>73</v>
      </c>
    </row>
    <row r="54" spans="1:2" x14ac:dyDescent="0.35">
      <c r="A54" s="5" t="s">
        <v>14</v>
      </c>
      <c r="B54" s="9">
        <v>49</v>
      </c>
    </row>
    <row r="55" spans="1:2" x14ac:dyDescent="0.35">
      <c r="A55" s="5" t="s">
        <v>16</v>
      </c>
      <c r="B55" s="9">
        <v>44</v>
      </c>
    </row>
    <row r="56" spans="1:2" x14ac:dyDescent="0.35">
      <c r="A56" s="5" t="s">
        <v>12</v>
      </c>
      <c r="B56" s="9">
        <v>72</v>
      </c>
    </row>
    <row r="57" spans="1:2" x14ac:dyDescent="0.35">
      <c r="A57" s="5" t="s">
        <v>13</v>
      </c>
      <c r="B57" s="9">
        <v>71</v>
      </c>
    </row>
    <row r="58" spans="1:2" x14ac:dyDescent="0.35">
      <c r="A58" s="5" t="s">
        <v>7</v>
      </c>
      <c r="B58" s="9">
        <v>59</v>
      </c>
    </row>
    <row r="59" spans="1:2" x14ac:dyDescent="0.35">
      <c r="A59" s="5" t="s">
        <v>9</v>
      </c>
      <c r="B59" s="9">
        <v>58</v>
      </c>
    </row>
    <row r="60" spans="1:2" x14ac:dyDescent="0.35">
      <c r="A60" s="5" t="s">
        <v>19</v>
      </c>
      <c r="B60" s="9">
        <v>488</v>
      </c>
    </row>
    <row r="64" spans="1:2" x14ac:dyDescent="0.35">
      <c r="A64" s="3" t="s">
        <v>21</v>
      </c>
      <c r="B64" t="s">
        <v>60</v>
      </c>
    </row>
    <row r="65" spans="1:2" x14ac:dyDescent="0.35">
      <c r="A65" s="5" t="s">
        <v>8</v>
      </c>
      <c r="B65" s="9">
        <v>304</v>
      </c>
    </row>
    <row r="66" spans="1:2" x14ac:dyDescent="0.35">
      <c r="A66" s="5" t="s">
        <v>11</v>
      </c>
      <c r="B66" s="9">
        <v>184</v>
      </c>
    </row>
    <row r="67" spans="1:2" x14ac:dyDescent="0.35">
      <c r="A67" s="5" t="s">
        <v>19</v>
      </c>
      <c r="B67" s="9">
        <v>488</v>
      </c>
    </row>
    <row r="70" spans="1:2" x14ac:dyDescent="0.35">
      <c r="A70" s="3" t="s">
        <v>21</v>
      </c>
      <c r="B70" t="s">
        <v>61</v>
      </c>
    </row>
    <row r="71" spans="1:2" x14ac:dyDescent="0.35">
      <c r="A71" s="5" t="s">
        <v>17</v>
      </c>
      <c r="B71" s="9">
        <v>232</v>
      </c>
    </row>
    <row r="72" spans="1:2" x14ac:dyDescent="0.35">
      <c r="A72" s="5" t="s">
        <v>4</v>
      </c>
      <c r="B72" s="9">
        <v>256</v>
      </c>
    </row>
    <row r="73" spans="1:2" x14ac:dyDescent="0.35">
      <c r="A73" s="5" t="s">
        <v>19</v>
      </c>
      <c r="B73" s="9">
        <v>488</v>
      </c>
    </row>
    <row r="76" spans="1:2" x14ac:dyDescent="0.35">
      <c r="A76" s="3" t="s">
        <v>21</v>
      </c>
      <c r="B76" t="s">
        <v>69</v>
      </c>
    </row>
    <row r="77" spans="1:2" x14ac:dyDescent="0.35">
      <c r="A77" s="5" t="s">
        <v>68</v>
      </c>
      <c r="B77" s="9">
        <v>4</v>
      </c>
    </row>
    <row r="78" spans="1:2" x14ac:dyDescent="0.35">
      <c r="A78" s="5" t="s">
        <v>65</v>
      </c>
      <c r="B78" s="9">
        <v>7</v>
      </c>
    </row>
    <row r="79" spans="1:2" x14ac:dyDescent="0.35">
      <c r="A79" s="5" t="s">
        <v>62</v>
      </c>
      <c r="B79" s="9">
        <v>11</v>
      </c>
    </row>
    <row r="80" spans="1:2" x14ac:dyDescent="0.35">
      <c r="A80" s="5" t="s">
        <v>63</v>
      </c>
      <c r="B80" s="9">
        <v>11</v>
      </c>
    </row>
    <row r="81" spans="1:2" x14ac:dyDescent="0.35">
      <c r="A81" s="5" t="s">
        <v>67</v>
      </c>
      <c r="B81" s="9">
        <v>12</v>
      </c>
    </row>
    <row r="82" spans="1:2" x14ac:dyDescent="0.35">
      <c r="A82" s="5" t="s">
        <v>66</v>
      </c>
      <c r="B82" s="9">
        <v>60</v>
      </c>
    </row>
    <row r="83" spans="1:2" x14ac:dyDescent="0.35">
      <c r="A83" s="5" t="s">
        <v>64</v>
      </c>
      <c r="B83" s="9">
        <v>93</v>
      </c>
    </row>
    <row r="84" spans="1:2" x14ac:dyDescent="0.35">
      <c r="A84" s="5" t="s">
        <v>5</v>
      </c>
      <c r="B84" s="9">
        <v>290</v>
      </c>
    </row>
    <row r="85" spans="1:2" x14ac:dyDescent="0.35">
      <c r="A85" s="5" t="s">
        <v>19</v>
      </c>
      <c r="B85" s="9">
        <v>488</v>
      </c>
    </row>
    <row r="89" spans="1:2" x14ac:dyDescent="0.35">
      <c r="A89" s="3" t="s">
        <v>21</v>
      </c>
    </row>
    <row r="90" spans="1:2" x14ac:dyDescent="0.35">
      <c r="A90" s="5" t="s">
        <v>20</v>
      </c>
    </row>
    <row r="91" spans="1:2" x14ac:dyDescent="0.35">
      <c r="A91" s="5" t="s">
        <v>19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22C6-C1F2-4FB6-8744-06AA33DE74A7}">
  <dimension ref="A1:S26"/>
  <sheetViews>
    <sheetView workbookViewId="0">
      <selection activeCell="T4" sqref="T4"/>
    </sheetView>
  </sheetViews>
  <sheetFormatPr defaultRowHeight="14.5" x14ac:dyDescent="0.35"/>
  <sheetData>
    <row r="1" spans="1:19" x14ac:dyDescent="0.35">
      <c r="A1" s="2"/>
      <c r="B1" s="2"/>
      <c r="C1" s="2"/>
      <c r="D1" s="2"/>
      <c r="E1" s="2"/>
      <c r="F1" s="2"/>
      <c r="G1" s="2"/>
      <c r="H1" s="2"/>
      <c r="I1" s="2"/>
      <c r="J1" s="2"/>
      <c r="K1" s="2"/>
      <c r="L1" s="2"/>
      <c r="M1" s="2"/>
      <c r="N1" s="2"/>
      <c r="O1" s="2"/>
      <c r="P1" s="2"/>
      <c r="Q1" s="2"/>
      <c r="R1" s="2"/>
      <c r="S1" s="2"/>
    </row>
    <row r="2" spans="1:19" x14ac:dyDescent="0.35">
      <c r="A2" s="2"/>
      <c r="B2" s="2"/>
      <c r="C2" s="2"/>
      <c r="D2" s="2"/>
      <c r="E2" s="2"/>
      <c r="F2" s="2"/>
      <c r="G2" s="2"/>
      <c r="H2" s="2"/>
      <c r="I2" s="2"/>
      <c r="J2" s="2"/>
      <c r="K2" s="2"/>
      <c r="L2" s="2"/>
      <c r="M2" s="2"/>
      <c r="N2" s="2"/>
      <c r="O2" s="2"/>
      <c r="P2" s="2"/>
      <c r="Q2" s="2"/>
      <c r="R2" s="2"/>
      <c r="S2" s="2"/>
    </row>
    <row r="3" spans="1:19" x14ac:dyDescent="0.35">
      <c r="A3" s="2"/>
      <c r="B3" s="2"/>
      <c r="C3" s="2"/>
      <c r="D3" s="2"/>
      <c r="E3" s="2"/>
      <c r="F3" s="2"/>
      <c r="G3" s="2"/>
      <c r="H3" s="2"/>
      <c r="I3" s="2"/>
      <c r="J3" s="2"/>
      <c r="K3" s="2"/>
      <c r="L3" s="2"/>
      <c r="M3" s="2"/>
      <c r="N3" s="2"/>
      <c r="O3" s="2"/>
      <c r="P3" s="2"/>
      <c r="Q3" s="2"/>
      <c r="R3" s="2"/>
      <c r="S3" s="2"/>
    </row>
    <row r="4" spans="1:19" x14ac:dyDescent="0.35">
      <c r="A4" s="2"/>
      <c r="B4" s="2"/>
      <c r="C4" s="2"/>
      <c r="D4" s="2"/>
      <c r="E4" s="2"/>
      <c r="F4" s="2"/>
      <c r="G4" s="2"/>
      <c r="H4" s="2"/>
      <c r="I4" s="2"/>
      <c r="J4" s="2"/>
      <c r="K4" s="2"/>
      <c r="L4" s="2"/>
      <c r="M4" s="2"/>
      <c r="N4" s="2"/>
      <c r="O4" s="2"/>
      <c r="P4" s="2"/>
      <c r="Q4" s="2"/>
      <c r="R4" s="2"/>
      <c r="S4" s="2"/>
    </row>
    <row r="5" spans="1:19" x14ac:dyDescent="0.35">
      <c r="A5" s="2"/>
      <c r="B5" s="2"/>
      <c r="C5" s="2"/>
      <c r="D5" s="2"/>
      <c r="E5" s="2"/>
      <c r="F5" s="2"/>
      <c r="G5" s="2"/>
      <c r="H5" s="2"/>
      <c r="I5" s="2"/>
      <c r="J5" s="2"/>
      <c r="K5" s="2"/>
      <c r="L5" s="2"/>
      <c r="M5" s="2"/>
      <c r="N5" s="2"/>
      <c r="O5" s="2"/>
      <c r="P5" s="2"/>
      <c r="Q5" s="2"/>
      <c r="R5" s="2"/>
      <c r="S5" s="2"/>
    </row>
    <row r="6" spans="1:19" x14ac:dyDescent="0.35">
      <c r="A6" s="2"/>
      <c r="B6" s="2"/>
      <c r="C6" s="2"/>
      <c r="D6" s="2"/>
      <c r="E6" s="2"/>
      <c r="F6" s="2"/>
      <c r="G6" s="2"/>
      <c r="H6" s="2"/>
      <c r="I6" s="2"/>
      <c r="J6" s="2"/>
      <c r="K6" s="2"/>
      <c r="L6" s="2"/>
      <c r="M6" s="2"/>
      <c r="N6" s="2"/>
      <c r="O6" s="2"/>
      <c r="P6" s="2"/>
      <c r="Q6" s="2"/>
      <c r="R6" s="2"/>
      <c r="S6" s="2"/>
    </row>
    <row r="7" spans="1:19" x14ac:dyDescent="0.35">
      <c r="A7" s="2"/>
      <c r="B7" s="2"/>
      <c r="C7" s="2"/>
      <c r="D7" s="2"/>
      <c r="E7" s="2"/>
      <c r="F7" s="2"/>
      <c r="G7" s="2"/>
      <c r="H7" s="2"/>
      <c r="I7" s="2"/>
      <c r="J7" s="2"/>
      <c r="K7" s="2"/>
      <c r="L7" s="2"/>
      <c r="M7" s="2"/>
      <c r="N7" s="2"/>
      <c r="O7" s="2"/>
      <c r="P7" s="2"/>
      <c r="Q7" s="2"/>
      <c r="R7" s="2"/>
      <c r="S7" s="2"/>
    </row>
    <row r="8" spans="1:19" x14ac:dyDescent="0.35">
      <c r="A8" s="2"/>
      <c r="B8" s="2"/>
      <c r="C8" s="2"/>
      <c r="D8" s="2"/>
      <c r="E8" s="2"/>
      <c r="F8" s="2"/>
      <c r="G8" s="2"/>
      <c r="H8" s="2"/>
      <c r="I8" s="2"/>
      <c r="J8" s="2"/>
      <c r="K8" s="2"/>
      <c r="L8" s="2"/>
      <c r="M8" s="2"/>
      <c r="N8" s="2"/>
      <c r="O8" s="2"/>
      <c r="P8" s="2"/>
      <c r="Q8" s="2"/>
      <c r="R8" s="2"/>
      <c r="S8" s="2"/>
    </row>
    <row r="9" spans="1:19" x14ac:dyDescent="0.35">
      <c r="A9" s="2"/>
      <c r="B9" s="2"/>
      <c r="C9" s="2"/>
      <c r="D9" s="2"/>
      <c r="E9" s="2"/>
      <c r="F9" s="2"/>
      <c r="G9" s="2"/>
      <c r="H9" s="2"/>
      <c r="I9" s="2"/>
      <c r="J9" s="2"/>
      <c r="K9" s="2"/>
      <c r="L9" s="2"/>
      <c r="M9" s="2"/>
      <c r="N9" s="2"/>
      <c r="O9" s="2"/>
      <c r="P9" s="2"/>
      <c r="Q9" s="2"/>
      <c r="R9" s="2"/>
      <c r="S9" s="2"/>
    </row>
    <row r="10" spans="1:19" x14ac:dyDescent="0.35">
      <c r="A10" s="2"/>
      <c r="B10" s="2"/>
      <c r="C10" s="2"/>
      <c r="D10" s="2"/>
      <c r="E10" s="2"/>
      <c r="F10" s="2"/>
      <c r="G10" s="2"/>
      <c r="H10" s="2"/>
      <c r="I10" s="2"/>
      <c r="J10" s="2"/>
      <c r="K10" s="2"/>
      <c r="L10" s="2"/>
      <c r="M10" s="2"/>
      <c r="N10" s="2"/>
      <c r="O10" s="2"/>
      <c r="P10" s="2"/>
      <c r="Q10" s="2"/>
      <c r="R10" s="2"/>
      <c r="S10" s="2"/>
    </row>
    <row r="11" spans="1:19" x14ac:dyDescent="0.35">
      <c r="A11" s="2"/>
      <c r="B11" s="2"/>
      <c r="C11" s="2"/>
      <c r="D11" s="2"/>
      <c r="E11" s="2"/>
      <c r="F11" s="2"/>
      <c r="G11" s="2"/>
      <c r="H11" s="2"/>
      <c r="I11" s="2"/>
      <c r="J11" s="2"/>
      <c r="K11" s="2"/>
      <c r="L11" s="2"/>
      <c r="M11" s="2"/>
      <c r="N11" s="2"/>
      <c r="O11" s="2"/>
      <c r="P11" s="2"/>
      <c r="Q11" s="2"/>
      <c r="R11" s="2"/>
      <c r="S11" s="2"/>
    </row>
    <row r="12" spans="1:19" x14ac:dyDescent="0.35">
      <c r="A12" s="2"/>
      <c r="B12" s="2"/>
      <c r="C12" s="2"/>
      <c r="D12" s="2"/>
      <c r="E12" s="2"/>
      <c r="F12" s="2"/>
      <c r="G12" s="2"/>
      <c r="H12" s="2"/>
      <c r="I12" s="2"/>
      <c r="J12" s="2"/>
      <c r="K12" s="2"/>
      <c r="L12" s="2"/>
      <c r="M12" s="2"/>
      <c r="N12" s="2"/>
      <c r="O12" s="2"/>
      <c r="P12" s="2"/>
      <c r="Q12" s="2"/>
      <c r="R12" s="2"/>
      <c r="S12" s="2"/>
    </row>
    <row r="13" spans="1:19" x14ac:dyDescent="0.35">
      <c r="A13" s="2"/>
      <c r="B13" s="2"/>
      <c r="C13" s="2"/>
      <c r="D13" s="2"/>
      <c r="E13" s="2"/>
      <c r="F13" s="2"/>
      <c r="G13" s="2"/>
      <c r="H13" s="2"/>
      <c r="I13" s="2"/>
      <c r="J13" s="2"/>
      <c r="K13" s="2"/>
      <c r="L13" s="2"/>
      <c r="M13" s="2"/>
      <c r="N13" s="2"/>
      <c r="O13" s="2"/>
      <c r="P13" s="2"/>
      <c r="Q13" s="2"/>
      <c r="R13" s="2"/>
      <c r="S13" s="2"/>
    </row>
    <row r="14" spans="1:19" x14ac:dyDescent="0.35">
      <c r="A14" s="2"/>
      <c r="B14" s="2"/>
      <c r="C14" s="2"/>
      <c r="D14" s="2"/>
      <c r="E14" s="2"/>
      <c r="F14" s="2"/>
      <c r="G14" s="2"/>
      <c r="H14" s="2"/>
      <c r="I14" s="2"/>
      <c r="J14" s="2"/>
      <c r="K14" s="2"/>
      <c r="L14" s="2"/>
      <c r="M14" s="2"/>
      <c r="N14" s="2"/>
      <c r="O14" s="2"/>
      <c r="P14" s="2"/>
      <c r="Q14" s="2"/>
      <c r="R14" s="2"/>
      <c r="S14" s="2"/>
    </row>
    <row r="15" spans="1:19" x14ac:dyDescent="0.35">
      <c r="A15" s="2"/>
      <c r="B15" s="2"/>
      <c r="C15" s="2"/>
      <c r="D15" s="2"/>
      <c r="E15" s="2"/>
      <c r="F15" s="2"/>
      <c r="G15" s="2"/>
      <c r="H15" s="2"/>
      <c r="I15" s="2"/>
      <c r="J15" s="2"/>
      <c r="K15" s="2"/>
      <c r="L15" s="2"/>
      <c r="M15" s="2"/>
      <c r="N15" s="2"/>
      <c r="O15" s="2"/>
      <c r="P15" s="2"/>
      <c r="Q15" s="2"/>
      <c r="R15" s="2"/>
      <c r="S15" s="2"/>
    </row>
    <row r="16" spans="1:19" x14ac:dyDescent="0.35">
      <c r="A16" s="2"/>
      <c r="B16" s="2"/>
      <c r="C16" s="2"/>
      <c r="D16" s="2"/>
      <c r="E16" s="2"/>
      <c r="F16" s="2"/>
      <c r="G16" s="2"/>
      <c r="H16" s="2"/>
      <c r="I16" s="2"/>
      <c r="J16" s="2"/>
      <c r="K16" s="2"/>
      <c r="L16" s="2"/>
      <c r="M16" s="2"/>
      <c r="N16" s="2"/>
      <c r="O16" s="2"/>
      <c r="P16" s="2"/>
      <c r="Q16" s="2"/>
      <c r="R16" s="2"/>
      <c r="S16" s="2"/>
    </row>
    <row r="17" spans="1:19" x14ac:dyDescent="0.35">
      <c r="A17" s="2"/>
      <c r="B17" s="2"/>
      <c r="C17" s="2"/>
      <c r="D17" s="2"/>
      <c r="E17" s="2"/>
      <c r="F17" s="2"/>
      <c r="G17" s="2"/>
      <c r="H17" s="2"/>
      <c r="I17" s="2"/>
      <c r="J17" s="2"/>
      <c r="K17" s="2"/>
      <c r="L17" s="2"/>
      <c r="M17" s="2"/>
      <c r="N17" s="2"/>
      <c r="O17" s="2"/>
      <c r="P17" s="2"/>
      <c r="Q17" s="2"/>
      <c r="R17" s="2"/>
      <c r="S17" s="2"/>
    </row>
    <row r="18" spans="1:19" x14ac:dyDescent="0.35">
      <c r="A18" s="2"/>
      <c r="B18" s="2"/>
      <c r="C18" s="2"/>
      <c r="D18" s="2"/>
      <c r="E18" s="2"/>
      <c r="F18" s="2"/>
      <c r="G18" s="2"/>
      <c r="H18" s="2"/>
      <c r="I18" s="2"/>
      <c r="J18" s="2"/>
      <c r="K18" s="2"/>
      <c r="L18" s="2"/>
      <c r="M18" s="2"/>
      <c r="N18" s="2"/>
      <c r="O18" s="2"/>
      <c r="P18" s="2"/>
      <c r="Q18" s="2"/>
      <c r="R18" s="2"/>
      <c r="S18" s="2"/>
    </row>
    <row r="19" spans="1:19" x14ac:dyDescent="0.35">
      <c r="A19" s="2"/>
      <c r="B19" s="2"/>
      <c r="C19" s="2"/>
      <c r="D19" s="2"/>
      <c r="E19" s="2"/>
      <c r="F19" s="2"/>
      <c r="G19" s="2"/>
      <c r="H19" s="2"/>
      <c r="I19" s="2"/>
      <c r="J19" s="2"/>
      <c r="K19" s="2"/>
      <c r="L19" s="2"/>
      <c r="M19" s="2"/>
      <c r="N19" s="2"/>
      <c r="O19" s="2"/>
      <c r="P19" s="2"/>
      <c r="Q19" s="2"/>
      <c r="R19" s="2"/>
      <c r="S19" s="2"/>
    </row>
    <row r="20" spans="1:19" x14ac:dyDescent="0.35">
      <c r="A20" s="2"/>
      <c r="B20" s="2"/>
      <c r="C20" s="2"/>
      <c r="D20" s="2"/>
      <c r="E20" s="2"/>
      <c r="F20" s="2"/>
      <c r="G20" s="2"/>
      <c r="H20" s="2"/>
      <c r="I20" s="2"/>
      <c r="J20" s="2"/>
      <c r="K20" s="2"/>
      <c r="L20" s="2"/>
      <c r="M20" s="2"/>
      <c r="N20" s="2"/>
      <c r="O20" s="2"/>
      <c r="P20" s="2"/>
      <c r="Q20" s="2"/>
      <c r="R20" s="2"/>
      <c r="S20" s="2"/>
    </row>
    <row r="21" spans="1:19" x14ac:dyDescent="0.35">
      <c r="A21" s="2"/>
      <c r="B21" s="2"/>
      <c r="C21" s="2"/>
      <c r="D21" s="2"/>
      <c r="E21" s="2"/>
      <c r="F21" s="2"/>
      <c r="G21" s="2"/>
      <c r="H21" s="2"/>
      <c r="I21" s="2"/>
      <c r="J21" s="2"/>
      <c r="K21" s="2"/>
      <c r="L21" s="2"/>
      <c r="M21" s="2"/>
      <c r="N21" s="2"/>
      <c r="O21" s="2"/>
      <c r="P21" s="2"/>
      <c r="Q21" s="2"/>
      <c r="R21" s="2"/>
      <c r="S21" s="2"/>
    </row>
    <row r="22" spans="1:19" x14ac:dyDescent="0.35">
      <c r="A22" s="2"/>
      <c r="B22" s="2"/>
      <c r="C22" s="2"/>
      <c r="D22" s="2"/>
      <c r="E22" s="2"/>
      <c r="F22" s="2"/>
      <c r="G22" s="2"/>
      <c r="H22" s="2"/>
      <c r="I22" s="2"/>
      <c r="J22" s="2"/>
      <c r="K22" s="2"/>
      <c r="L22" s="2"/>
      <c r="M22" s="2"/>
      <c r="N22" s="2"/>
      <c r="O22" s="2"/>
      <c r="P22" s="2"/>
      <c r="Q22" s="2"/>
      <c r="R22" s="2"/>
      <c r="S22" s="2"/>
    </row>
    <row r="23" spans="1:19" x14ac:dyDescent="0.35">
      <c r="A23" s="2"/>
      <c r="B23" s="2"/>
      <c r="C23" s="2"/>
      <c r="D23" s="2"/>
      <c r="E23" s="2"/>
      <c r="F23" s="2"/>
      <c r="G23" s="2"/>
      <c r="H23" s="2"/>
      <c r="I23" s="2"/>
      <c r="J23" s="2"/>
      <c r="K23" s="2"/>
      <c r="L23" s="2"/>
      <c r="M23" s="2"/>
      <c r="N23" s="2"/>
      <c r="O23" s="2"/>
      <c r="P23" s="2"/>
      <c r="Q23" s="2"/>
      <c r="R23" s="2"/>
      <c r="S23" s="2"/>
    </row>
    <row r="24" spans="1:19" x14ac:dyDescent="0.35">
      <c r="A24" s="2"/>
      <c r="B24" s="2"/>
      <c r="C24" s="2"/>
      <c r="D24" s="2"/>
      <c r="E24" s="2"/>
      <c r="F24" s="2"/>
      <c r="G24" s="2"/>
      <c r="H24" s="2"/>
      <c r="I24" s="2"/>
      <c r="J24" s="2"/>
      <c r="K24" s="2"/>
      <c r="L24" s="2"/>
      <c r="M24" s="2"/>
      <c r="N24" s="2"/>
      <c r="O24" s="2"/>
      <c r="P24" s="2"/>
      <c r="Q24" s="2"/>
      <c r="R24" s="2"/>
      <c r="S24" s="2"/>
    </row>
    <row r="25" spans="1:19" x14ac:dyDescent="0.35">
      <c r="A25" s="2"/>
      <c r="B25" s="2"/>
      <c r="C25" s="2"/>
      <c r="D25" s="2"/>
      <c r="E25" s="2"/>
      <c r="F25" s="2"/>
      <c r="G25" s="2"/>
      <c r="H25" s="2"/>
      <c r="I25" s="2"/>
      <c r="J25" s="2"/>
      <c r="K25" s="2"/>
      <c r="L25" s="2"/>
      <c r="M25" s="2"/>
      <c r="N25" s="2"/>
      <c r="O25" s="2"/>
      <c r="P25" s="2"/>
      <c r="Q25" s="2"/>
      <c r="R25" s="2"/>
      <c r="S25" s="2"/>
    </row>
    <row r="26" spans="1:19" x14ac:dyDescent="0.35">
      <c r="A26" s="2"/>
      <c r="B26" s="2"/>
      <c r="C26" s="2"/>
      <c r="D26" s="2"/>
      <c r="E26" s="2"/>
      <c r="F26" s="2"/>
      <c r="G26" s="2"/>
      <c r="H26" s="2"/>
      <c r="I26" s="2"/>
      <c r="J26" s="2"/>
      <c r="K26" s="2"/>
      <c r="L26" s="2"/>
      <c r="M26" s="2"/>
      <c r="N26" s="2"/>
      <c r="O26" s="2"/>
      <c r="P26" s="2"/>
      <c r="Q26" s="2"/>
      <c r="R26" s="2"/>
      <c r="S26"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DC0BA-7310-4A41-9A0C-F22E9FD16759}">
  <dimension ref="A1:R24"/>
  <sheetViews>
    <sheetView workbookViewId="0">
      <selection activeCell="S10" sqref="S10"/>
    </sheetView>
  </sheetViews>
  <sheetFormatPr defaultRowHeight="14.5" x14ac:dyDescent="0.35"/>
  <sheetData>
    <row r="1" spans="1:18" x14ac:dyDescent="0.35">
      <c r="A1" s="2"/>
      <c r="B1" s="2"/>
      <c r="C1" s="2"/>
      <c r="D1" s="2"/>
      <c r="E1" s="2"/>
      <c r="F1" s="2"/>
      <c r="G1" s="2"/>
      <c r="H1" s="2"/>
      <c r="I1" s="2"/>
      <c r="J1" s="2"/>
      <c r="K1" s="2"/>
      <c r="L1" s="2"/>
      <c r="M1" s="2"/>
      <c r="N1" s="2"/>
      <c r="O1" s="2"/>
      <c r="P1" s="2"/>
      <c r="Q1" s="2"/>
      <c r="R1" s="2"/>
    </row>
    <row r="2" spans="1:18" x14ac:dyDescent="0.35">
      <c r="A2" s="2"/>
      <c r="B2" s="2"/>
      <c r="C2" s="2"/>
      <c r="D2" s="2"/>
      <c r="E2" s="2"/>
      <c r="F2" s="2"/>
      <c r="G2" s="2"/>
      <c r="H2" s="2"/>
      <c r="I2" s="2"/>
      <c r="J2" s="2"/>
      <c r="K2" s="2"/>
      <c r="L2" s="2"/>
      <c r="M2" s="2"/>
      <c r="N2" s="2"/>
      <c r="O2" s="2"/>
      <c r="P2" s="2"/>
      <c r="Q2" s="2"/>
      <c r="R2" s="2"/>
    </row>
    <row r="3" spans="1:18" x14ac:dyDescent="0.35">
      <c r="A3" s="2"/>
      <c r="B3" s="2"/>
      <c r="C3" s="2"/>
      <c r="D3" s="2"/>
      <c r="E3" s="2"/>
      <c r="F3" s="2"/>
      <c r="G3" s="2"/>
      <c r="H3" s="2"/>
      <c r="I3" s="2"/>
      <c r="J3" s="2"/>
      <c r="K3" s="2"/>
      <c r="L3" s="2"/>
      <c r="M3" s="2"/>
      <c r="N3" s="2"/>
      <c r="O3" s="2"/>
      <c r="P3" s="2"/>
      <c r="Q3" s="2"/>
      <c r="R3" s="2"/>
    </row>
    <row r="4" spans="1:18" x14ac:dyDescent="0.35">
      <c r="A4" s="2"/>
      <c r="B4" s="2"/>
      <c r="C4" s="2"/>
      <c r="D4" s="2"/>
      <c r="E4" s="2"/>
      <c r="F4" s="2"/>
      <c r="G4" s="2"/>
      <c r="H4" s="2"/>
      <c r="I4" s="2"/>
      <c r="J4" s="2"/>
      <c r="K4" s="2"/>
      <c r="L4" s="2"/>
      <c r="M4" s="2"/>
      <c r="N4" s="2"/>
      <c r="O4" s="2"/>
      <c r="P4" s="2"/>
      <c r="Q4" s="2"/>
      <c r="R4" s="2"/>
    </row>
    <row r="5" spans="1:18" x14ac:dyDescent="0.35">
      <c r="A5" s="2"/>
      <c r="B5" s="2"/>
      <c r="C5" s="2"/>
      <c r="D5" s="2"/>
      <c r="E5" s="2"/>
      <c r="F5" s="2"/>
      <c r="G5" s="2"/>
      <c r="H5" s="2"/>
      <c r="I5" s="2"/>
      <c r="J5" s="2"/>
      <c r="K5" s="2"/>
      <c r="L5" s="2"/>
      <c r="M5" s="2"/>
      <c r="N5" s="2"/>
      <c r="O5" s="2"/>
      <c r="P5" s="2"/>
      <c r="Q5" s="2"/>
      <c r="R5" s="2"/>
    </row>
    <row r="6" spans="1:18" x14ac:dyDescent="0.35">
      <c r="A6" s="2"/>
      <c r="B6" s="2"/>
      <c r="C6" s="2"/>
      <c r="D6" s="2"/>
      <c r="E6" s="2"/>
      <c r="F6" s="2"/>
      <c r="G6" s="2"/>
      <c r="H6" s="2"/>
      <c r="I6" s="2"/>
      <c r="J6" s="2"/>
      <c r="K6" s="2"/>
      <c r="L6" s="2"/>
      <c r="M6" s="2"/>
      <c r="N6" s="2"/>
      <c r="O6" s="2"/>
      <c r="P6" s="2"/>
      <c r="Q6" s="2"/>
      <c r="R6" s="2"/>
    </row>
    <row r="7" spans="1:18" x14ac:dyDescent="0.35">
      <c r="A7" s="2"/>
      <c r="B7" s="2"/>
      <c r="C7" s="2"/>
      <c r="D7" s="2"/>
      <c r="E7" s="2"/>
      <c r="F7" s="2"/>
      <c r="G7" s="2"/>
      <c r="H7" s="2"/>
      <c r="I7" s="2"/>
      <c r="J7" s="2"/>
      <c r="K7" s="2"/>
      <c r="L7" s="2"/>
      <c r="M7" s="2"/>
      <c r="N7" s="2"/>
      <c r="O7" s="2"/>
      <c r="P7" s="2"/>
      <c r="Q7" s="2"/>
      <c r="R7" s="2"/>
    </row>
    <row r="8" spans="1:18" x14ac:dyDescent="0.35">
      <c r="A8" s="2"/>
      <c r="B8" s="2"/>
      <c r="C8" s="2"/>
      <c r="D8" s="2"/>
      <c r="E8" s="2"/>
      <c r="F8" s="2"/>
      <c r="G8" s="2"/>
      <c r="H8" s="2"/>
      <c r="I8" s="2"/>
      <c r="J8" s="2"/>
      <c r="K8" s="2"/>
      <c r="L8" s="2"/>
      <c r="M8" s="2"/>
      <c r="N8" s="2"/>
      <c r="O8" s="2"/>
      <c r="P8" s="2"/>
      <c r="Q8" s="2"/>
      <c r="R8" s="2"/>
    </row>
    <row r="9" spans="1:18" x14ac:dyDescent="0.35">
      <c r="A9" s="2"/>
      <c r="B9" s="2"/>
      <c r="C9" s="2"/>
      <c r="D9" s="2"/>
      <c r="E9" s="2"/>
      <c r="F9" s="2"/>
      <c r="G9" s="2"/>
      <c r="H9" s="2"/>
      <c r="I9" s="2"/>
      <c r="J9" s="2"/>
      <c r="K9" s="2"/>
      <c r="L9" s="2"/>
      <c r="M9" s="2"/>
      <c r="N9" s="2"/>
      <c r="O9" s="2"/>
      <c r="P9" s="2"/>
      <c r="Q9" s="2"/>
      <c r="R9" s="2"/>
    </row>
    <row r="10" spans="1:18" x14ac:dyDescent="0.35">
      <c r="A10" s="2"/>
      <c r="B10" s="2"/>
      <c r="C10" s="2"/>
      <c r="D10" s="2"/>
      <c r="E10" s="2"/>
      <c r="F10" s="2"/>
      <c r="G10" s="2"/>
      <c r="H10" s="2"/>
      <c r="I10" s="2"/>
      <c r="J10" s="2"/>
      <c r="K10" s="2"/>
      <c r="L10" s="2"/>
      <c r="M10" s="2"/>
      <c r="N10" s="2"/>
      <c r="O10" s="2"/>
      <c r="P10" s="2"/>
      <c r="Q10" s="2"/>
      <c r="R10" s="2"/>
    </row>
    <row r="11" spans="1:18" x14ac:dyDescent="0.35">
      <c r="A11" s="2"/>
      <c r="B11" s="2"/>
      <c r="C11" s="2"/>
      <c r="D11" s="2"/>
      <c r="E11" s="2"/>
      <c r="F11" s="2"/>
      <c r="G11" s="2"/>
      <c r="H11" s="2"/>
      <c r="I11" s="2"/>
      <c r="J11" s="2"/>
      <c r="K11" s="2"/>
      <c r="L11" s="2"/>
      <c r="M11" s="2"/>
      <c r="N11" s="2"/>
      <c r="O11" s="2"/>
      <c r="P11" s="2"/>
      <c r="Q11" s="2"/>
      <c r="R11" s="2"/>
    </row>
    <row r="12" spans="1:18" x14ac:dyDescent="0.35">
      <c r="A12" s="2"/>
      <c r="B12" s="2"/>
      <c r="C12" s="2"/>
      <c r="D12" s="2"/>
      <c r="E12" s="2"/>
      <c r="F12" s="2"/>
      <c r="G12" s="2"/>
      <c r="H12" s="2"/>
      <c r="I12" s="2"/>
      <c r="J12" s="2"/>
      <c r="K12" s="2"/>
      <c r="L12" s="2"/>
      <c r="M12" s="2"/>
      <c r="N12" s="2"/>
      <c r="O12" s="2"/>
      <c r="P12" s="2"/>
      <c r="Q12" s="2"/>
      <c r="R12" s="2"/>
    </row>
    <row r="13" spans="1:18" x14ac:dyDescent="0.35">
      <c r="A13" s="2"/>
      <c r="B13" s="2"/>
      <c r="C13" s="2"/>
      <c r="D13" s="2"/>
      <c r="E13" s="2"/>
      <c r="F13" s="2"/>
      <c r="G13" s="2"/>
      <c r="H13" s="2"/>
      <c r="I13" s="2"/>
      <c r="J13" s="2"/>
      <c r="K13" s="2"/>
      <c r="L13" s="2"/>
      <c r="M13" s="2"/>
      <c r="N13" s="2"/>
      <c r="O13" s="2"/>
      <c r="P13" s="2"/>
      <c r="Q13" s="2"/>
      <c r="R13" s="2"/>
    </row>
    <row r="14" spans="1:18" x14ac:dyDescent="0.35">
      <c r="A14" s="2"/>
      <c r="B14" s="2"/>
      <c r="C14" s="2"/>
      <c r="D14" s="2"/>
      <c r="E14" s="2"/>
      <c r="F14" s="2"/>
      <c r="G14" s="2"/>
      <c r="H14" s="2"/>
      <c r="I14" s="2"/>
      <c r="J14" s="2"/>
      <c r="K14" s="2"/>
      <c r="L14" s="2"/>
      <c r="M14" s="2"/>
      <c r="N14" s="2"/>
      <c r="O14" s="2"/>
      <c r="P14" s="2"/>
      <c r="Q14" s="2"/>
      <c r="R14" s="2"/>
    </row>
    <row r="15" spans="1:18" x14ac:dyDescent="0.35">
      <c r="A15" s="2"/>
      <c r="B15" s="2"/>
      <c r="C15" s="2"/>
      <c r="D15" s="2"/>
      <c r="E15" s="2"/>
      <c r="F15" s="2"/>
      <c r="G15" s="2"/>
      <c r="H15" s="2"/>
      <c r="I15" s="2"/>
      <c r="J15" s="2"/>
      <c r="K15" s="2"/>
      <c r="L15" s="2"/>
      <c r="M15" s="2"/>
      <c r="N15" s="2"/>
      <c r="O15" s="2"/>
      <c r="P15" s="2"/>
      <c r="Q15" s="2"/>
      <c r="R15" s="2"/>
    </row>
    <row r="16" spans="1:18" x14ac:dyDescent="0.35">
      <c r="A16" s="2"/>
      <c r="B16" s="2"/>
      <c r="C16" s="2"/>
      <c r="D16" s="2"/>
      <c r="E16" s="2"/>
      <c r="F16" s="2"/>
      <c r="G16" s="2"/>
      <c r="H16" s="2"/>
      <c r="I16" s="2"/>
      <c r="J16" s="2"/>
      <c r="K16" s="2"/>
      <c r="L16" s="2"/>
      <c r="M16" s="2"/>
      <c r="N16" s="2"/>
      <c r="O16" s="2"/>
      <c r="P16" s="2"/>
      <c r="Q16" s="2"/>
      <c r="R16" s="2"/>
    </row>
    <row r="17" spans="1:18" x14ac:dyDescent="0.35">
      <c r="A17" s="2"/>
      <c r="B17" s="2"/>
      <c r="C17" s="2"/>
      <c r="D17" s="2"/>
      <c r="E17" s="2"/>
      <c r="F17" s="2"/>
      <c r="G17" s="2"/>
      <c r="H17" s="2"/>
      <c r="I17" s="2"/>
      <c r="J17" s="2"/>
      <c r="K17" s="2"/>
      <c r="L17" s="2"/>
      <c r="M17" s="2"/>
      <c r="N17" s="2"/>
      <c r="O17" s="2"/>
      <c r="P17" s="2"/>
      <c r="Q17" s="2"/>
      <c r="R17" s="2"/>
    </row>
    <row r="18" spans="1:18" x14ac:dyDescent="0.35">
      <c r="A18" s="2"/>
      <c r="B18" s="2"/>
      <c r="C18" s="2"/>
      <c r="D18" s="2"/>
      <c r="E18" s="2"/>
      <c r="F18" s="2"/>
      <c r="G18" s="2"/>
      <c r="H18" s="2"/>
      <c r="I18" s="2"/>
      <c r="J18" s="2"/>
      <c r="K18" s="2"/>
      <c r="L18" s="2"/>
      <c r="M18" s="2"/>
      <c r="N18" s="2"/>
      <c r="O18" s="2"/>
      <c r="P18" s="2"/>
      <c r="Q18" s="2"/>
      <c r="R18" s="2"/>
    </row>
    <row r="19" spans="1:18" x14ac:dyDescent="0.35">
      <c r="A19" s="2"/>
      <c r="B19" s="2"/>
      <c r="C19" s="2"/>
      <c r="D19" s="2"/>
      <c r="E19" s="2"/>
      <c r="F19" s="2"/>
      <c r="G19" s="2"/>
      <c r="H19" s="2"/>
      <c r="I19" s="2"/>
      <c r="J19" s="2"/>
      <c r="K19" s="2"/>
      <c r="L19" s="2"/>
      <c r="M19" s="2"/>
      <c r="N19" s="2"/>
      <c r="O19" s="2"/>
      <c r="P19" s="2"/>
      <c r="Q19" s="2"/>
      <c r="R19" s="2"/>
    </row>
    <row r="20" spans="1:18" x14ac:dyDescent="0.35">
      <c r="A20" s="2"/>
      <c r="B20" s="2"/>
      <c r="C20" s="2"/>
      <c r="D20" s="2"/>
      <c r="E20" s="2"/>
      <c r="F20" s="2"/>
      <c r="G20" s="2"/>
      <c r="H20" s="2"/>
      <c r="I20" s="2"/>
      <c r="J20" s="2"/>
      <c r="K20" s="2"/>
      <c r="L20" s="2"/>
      <c r="M20" s="2"/>
      <c r="N20" s="2"/>
      <c r="O20" s="2"/>
      <c r="P20" s="2"/>
      <c r="Q20" s="2"/>
      <c r="R20" s="2"/>
    </row>
    <row r="21" spans="1:18" x14ac:dyDescent="0.35">
      <c r="A21" s="2"/>
      <c r="B21" s="2"/>
      <c r="C21" s="2"/>
      <c r="D21" s="2"/>
      <c r="E21" s="2"/>
      <c r="F21" s="2"/>
      <c r="G21" s="2"/>
      <c r="H21" s="2"/>
      <c r="I21" s="2"/>
      <c r="J21" s="2"/>
      <c r="K21" s="2"/>
      <c r="L21" s="2"/>
      <c r="M21" s="2"/>
      <c r="N21" s="2"/>
      <c r="O21" s="2"/>
      <c r="P21" s="2"/>
      <c r="Q21" s="2"/>
      <c r="R21" s="2"/>
    </row>
    <row r="22" spans="1:18" x14ac:dyDescent="0.35">
      <c r="A22" s="2"/>
      <c r="B22" s="2"/>
      <c r="C22" s="2"/>
      <c r="D22" s="2"/>
      <c r="E22" s="2"/>
      <c r="F22" s="2"/>
      <c r="G22" s="2"/>
      <c r="H22" s="2"/>
      <c r="I22" s="2"/>
      <c r="J22" s="2"/>
      <c r="K22" s="2"/>
      <c r="L22" s="2"/>
      <c r="M22" s="2"/>
      <c r="N22" s="2"/>
      <c r="O22" s="2"/>
      <c r="P22" s="2"/>
      <c r="Q22" s="2"/>
      <c r="R22" s="2"/>
    </row>
    <row r="23" spans="1:18" x14ac:dyDescent="0.35">
      <c r="A23" s="2"/>
      <c r="B23" s="2"/>
      <c r="C23" s="2"/>
      <c r="D23" s="2"/>
      <c r="E23" s="2"/>
      <c r="F23" s="2"/>
      <c r="G23" s="2"/>
      <c r="H23" s="2"/>
      <c r="I23" s="2"/>
      <c r="J23" s="2"/>
      <c r="K23" s="2"/>
      <c r="L23" s="2"/>
      <c r="M23" s="2"/>
      <c r="N23" s="2"/>
      <c r="O23" s="2"/>
      <c r="P23" s="2"/>
      <c r="Q23" s="2"/>
      <c r="R23" s="2"/>
    </row>
    <row r="24" spans="1:18" x14ac:dyDescent="0.35">
      <c r="A24" s="2"/>
      <c r="B24" s="2"/>
      <c r="C24" s="2"/>
      <c r="D24" s="2"/>
      <c r="E24" s="2"/>
      <c r="F24" s="2"/>
      <c r="G24" s="2"/>
      <c r="H24" s="2"/>
      <c r="I24" s="2"/>
      <c r="J24" s="2"/>
      <c r="K24" s="2"/>
      <c r="L24" s="2"/>
      <c r="M24" s="2"/>
      <c r="N24" s="2"/>
      <c r="O24" s="2"/>
      <c r="P24" s="2"/>
      <c r="Q24" s="2"/>
      <c r="R24"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F649-99D3-4341-85B0-D56D3DAFA98E}">
  <dimension ref="A1:N18"/>
  <sheetViews>
    <sheetView zoomScale="162" zoomScaleNormal="116" workbookViewId="0">
      <selection activeCell="N7" sqref="N7"/>
    </sheetView>
  </sheetViews>
  <sheetFormatPr defaultRowHeight="14.5" x14ac:dyDescent="0.35"/>
  <cols>
    <col min="9" max="9" width="10.08984375" customWidth="1"/>
  </cols>
  <sheetData>
    <row r="1" spans="1:14" x14ac:dyDescent="0.35">
      <c r="A1" s="2"/>
      <c r="B1" s="2"/>
      <c r="C1" s="2"/>
      <c r="D1" s="2"/>
      <c r="E1" s="2"/>
      <c r="F1" s="2"/>
      <c r="G1" s="2"/>
      <c r="H1" s="2"/>
      <c r="I1" s="2"/>
      <c r="J1" s="2"/>
      <c r="K1" s="2"/>
      <c r="L1" s="2"/>
      <c r="M1" s="2"/>
      <c r="N1" s="2"/>
    </row>
    <row r="2" spans="1:14" x14ac:dyDescent="0.35">
      <c r="A2" s="2"/>
      <c r="B2" s="2"/>
      <c r="C2" s="2"/>
      <c r="D2" s="2"/>
      <c r="E2" s="2"/>
      <c r="F2" s="2"/>
      <c r="G2" s="2"/>
      <c r="H2" s="2"/>
      <c r="I2" s="2"/>
      <c r="J2" s="2"/>
      <c r="K2" s="2"/>
      <c r="L2" s="2"/>
      <c r="M2" s="2"/>
      <c r="N2" s="2"/>
    </row>
    <row r="3" spans="1:14" x14ac:dyDescent="0.35">
      <c r="A3" s="2"/>
      <c r="B3" s="2"/>
      <c r="C3" s="2"/>
      <c r="D3" s="2"/>
      <c r="E3" s="2"/>
      <c r="F3" s="2"/>
      <c r="G3" s="2"/>
      <c r="H3" s="2"/>
      <c r="I3" s="2"/>
      <c r="J3" s="2"/>
      <c r="K3" s="2"/>
      <c r="L3" s="2"/>
      <c r="M3" s="2"/>
      <c r="N3" s="2"/>
    </row>
    <row r="4" spans="1:14" x14ac:dyDescent="0.35">
      <c r="A4" s="2"/>
      <c r="B4" s="2"/>
      <c r="C4" s="2"/>
      <c r="D4" s="2"/>
      <c r="E4" s="2"/>
      <c r="F4" s="2"/>
      <c r="G4" s="2"/>
      <c r="H4" s="2"/>
      <c r="I4" s="2"/>
      <c r="J4" s="2"/>
      <c r="K4" s="2"/>
      <c r="L4" s="2"/>
      <c r="M4" s="2"/>
      <c r="N4" s="2"/>
    </row>
    <row r="5" spans="1:14" x14ac:dyDescent="0.35">
      <c r="A5" s="2"/>
      <c r="B5" s="2"/>
      <c r="C5" s="2"/>
      <c r="D5" s="2"/>
      <c r="E5" s="2"/>
      <c r="F5" s="2"/>
      <c r="G5" s="2"/>
      <c r="H5" s="2"/>
      <c r="I5" s="2"/>
      <c r="J5" s="2"/>
      <c r="K5" s="2"/>
      <c r="L5" s="2"/>
      <c r="M5" s="2"/>
      <c r="N5" s="2"/>
    </row>
    <row r="6" spans="1:14" x14ac:dyDescent="0.35">
      <c r="A6" s="2"/>
      <c r="B6" s="2"/>
      <c r="C6" s="2"/>
      <c r="D6" s="2"/>
      <c r="E6" s="2"/>
      <c r="F6" s="2"/>
      <c r="G6" s="2"/>
      <c r="H6" s="2"/>
      <c r="I6" s="2"/>
      <c r="J6" s="2"/>
      <c r="K6" s="2"/>
      <c r="L6" s="2"/>
      <c r="M6" s="2"/>
      <c r="N6" s="2"/>
    </row>
    <row r="7" spans="1:14" x14ac:dyDescent="0.35">
      <c r="A7" s="2"/>
      <c r="B7" s="2"/>
      <c r="C7" s="2"/>
      <c r="D7" s="2"/>
      <c r="E7" s="2"/>
      <c r="F7" s="2"/>
      <c r="G7" s="2"/>
      <c r="H7" s="2"/>
      <c r="I7" s="2"/>
      <c r="J7" s="2"/>
      <c r="K7" s="2"/>
      <c r="L7" s="2"/>
      <c r="M7" s="2"/>
      <c r="N7" s="2"/>
    </row>
    <row r="8" spans="1:14" x14ac:dyDescent="0.35">
      <c r="A8" s="2"/>
      <c r="B8" s="2"/>
      <c r="C8" s="2"/>
      <c r="D8" s="2"/>
      <c r="E8" s="2"/>
      <c r="F8" s="2"/>
      <c r="G8" s="2"/>
      <c r="H8" s="2"/>
      <c r="I8" s="2"/>
      <c r="J8" s="2"/>
      <c r="K8" s="2"/>
      <c r="L8" s="2"/>
      <c r="M8" s="2"/>
      <c r="N8" s="2"/>
    </row>
    <row r="9" spans="1:14" x14ac:dyDescent="0.35">
      <c r="A9" s="2"/>
      <c r="B9" s="2"/>
      <c r="C9" s="2"/>
      <c r="D9" s="2"/>
      <c r="E9" s="2"/>
      <c r="F9" s="2"/>
      <c r="G9" s="2"/>
      <c r="H9" s="2"/>
      <c r="I9" s="2"/>
      <c r="J9" s="2"/>
      <c r="K9" s="2"/>
      <c r="L9" s="2"/>
      <c r="M9" s="2"/>
      <c r="N9" s="2"/>
    </row>
    <row r="10" spans="1:14" x14ac:dyDescent="0.35">
      <c r="A10" s="2"/>
      <c r="B10" s="2"/>
      <c r="C10" s="2"/>
      <c r="D10" s="2"/>
      <c r="E10" s="2"/>
      <c r="F10" s="2"/>
      <c r="G10" s="2"/>
      <c r="H10" s="2"/>
      <c r="I10" s="2"/>
      <c r="J10" s="2"/>
      <c r="K10" s="2"/>
      <c r="L10" s="2"/>
      <c r="M10" s="2"/>
      <c r="N10" s="2"/>
    </row>
    <row r="11" spans="1:14" x14ac:dyDescent="0.35">
      <c r="A11" s="2"/>
      <c r="B11" s="2"/>
      <c r="C11" s="2"/>
      <c r="D11" s="2"/>
      <c r="E11" s="2"/>
      <c r="F11" s="2"/>
      <c r="G11" s="2"/>
      <c r="H11" s="2"/>
      <c r="I11" s="2"/>
      <c r="J11" s="2"/>
      <c r="K11" s="2"/>
      <c r="L11" s="2"/>
      <c r="M11" s="2"/>
      <c r="N11" s="2"/>
    </row>
    <row r="12" spans="1:14" x14ac:dyDescent="0.35">
      <c r="A12" s="2"/>
      <c r="B12" s="2"/>
      <c r="C12" s="2"/>
      <c r="D12" s="2"/>
      <c r="E12" s="2"/>
      <c r="F12" s="2"/>
      <c r="G12" s="2"/>
      <c r="H12" s="2"/>
      <c r="I12" s="2"/>
      <c r="J12" s="2"/>
      <c r="K12" s="2"/>
      <c r="L12" s="2"/>
      <c r="M12" s="2"/>
      <c r="N12" s="2"/>
    </row>
    <row r="13" spans="1:14" x14ac:dyDescent="0.35">
      <c r="A13" s="2"/>
      <c r="B13" s="2"/>
      <c r="C13" s="2"/>
      <c r="D13" s="2"/>
      <c r="E13" s="2"/>
      <c r="F13" s="2"/>
      <c r="G13" s="2"/>
      <c r="H13" s="2"/>
      <c r="I13" s="2"/>
      <c r="J13" s="2"/>
      <c r="K13" s="2"/>
      <c r="L13" s="2"/>
      <c r="M13" s="2"/>
      <c r="N13" s="2"/>
    </row>
    <row r="14" spans="1:14" x14ac:dyDescent="0.35">
      <c r="A14" s="2"/>
      <c r="B14" s="2"/>
      <c r="C14" s="2"/>
      <c r="D14" s="2"/>
      <c r="E14" s="2"/>
      <c r="F14" s="2"/>
      <c r="G14" s="2"/>
      <c r="H14" s="2"/>
      <c r="I14" s="2"/>
      <c r="J14" s="2"/>
      <c r="K14" s="2"/>
      <c r="L14" s="2"/>
      <c r="M14" s="2"/>
      <c r="N14" s="2"/>
    </row>
    <row r="15" spans="1:14" x14ac:dyDescent="0.35">
      <c r="A15" s="2"/>
      <c r="B15" s="2"/>
      <c r="C15" s="2"/>
      <c r="D15" s="2"/>
      <c r="E15" s="2"/>
      <c r="F15" s="2"/>
      <c r="G15" s="2"/>
      <c r="H15" s="2"/>
      <c r="I15" s="2"/>
      <c r="J15" s="2"/>
      <c r="K15" s="2"/>
      <c r="L15" s="2"/>
      <c r="M15" s="2"/>
      <c r="N15" s="2"/>
    </row>
    <row r="16" spans="1:14" x14ac:dyDescent="0.35">
      <c r="A16" s="2"/>
      <c r="B16" s="2"/>
      <c r="C16" s="2"/>
      <c r="D16" s="2"/>
      <c r="E16" s="2"/>
      <c r="F16" s="2"/>
      <c r="G16" s="2"/>
      <c r="H16" s="2"/>
      <c r="I16" s="2"/>
      <c r="J16" s="2"/>
      <c r="K16" s="2"/>
      <c r="L16" s="2"/>
      <c r="M16" s="2"/>
      <c r="N16" s="2"/>
    </row>
    <row r="17" spans="1:14" x14ac:dyDescent="0.35">
      <c r="A17" s="2"/>
      <c r="B17" s="2"/>
      <c r="C17" s="2"/>
      <c r="D17" s="2"/>
      <c r="E17" s="2"/>
      <c r="F17" s="2"/>
      <c r="G17" s="2"/>
      <c r="H17" s="2"/>
      <c r="I17" s="2"/>
      <c r="J17" s="2"/>
      <c r="K17" s="2"/>
      <c r="L17" s="2"/>
      <c r="M17" s="2"/>
      <c r="N17" s="2"/>
    </row>
    <row r="18" spans="1:14" x14ac:dyDescent="0.35">
      <c r="A18" s="2"/>
      <c r="B18" s="2"/>
      <c r="C18" s="2"/>
      <c r="D18" s="2"/>
      <c r="E18" s="2"/>
      <c r="F18" s="2"/>
      <c r="G18" s="2"/>
      <c r="H18" s="2"/>
      <c r="I18" s="2"/>
      <c r="J18" s="2"/>
      <c r="K18" s="2"/>
      <c r="L18" s="2"/>
      <c r="M18" s="2"/>
      <c r="N18"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DA945-40DE-4C4F-9940-5DA04373C2DD}">
  <dimension ref="A1:O23"/>
  <sheetViews>
    <sheetView tabSelected="1" workbookViewId="0">
      <selection activeCell="Q14" sqref="Q14"/>
    </sheetView>
  </sheetViews>
  <sheetFormatPr defaultRowHeight="14.5" x14ac:dyDescent="0.35"/>
  <sheetData>
    <row r="1" spans="1:15" x14ac:dyDescent="0.35">
      <c r="A1" s="2"/>
      <c r="B1" s="2"/>
      <c r="C1" s="2"/>
      <c r="D1" s="2"/>
      <c r="E1" s="2"/>
      <c r="F1" s="2"/>
      <c r="G1" s="2"/>
      <c r="H1" s="2"/>
      <c r="I1" s="2"/>
      <c r="J1" s="2"/>
      <c r="K1" s="2"/>
      <c r="L1" s="2"/>
      <c r="M1" s="2"/>
      <c r="N1" s="2"/>
      <c r="O1" s="2"/>
    </row>
    <row r="2" spans="1:15" x14ac:dyDescent="0.35">
      <c r="A2" s="2"/>
      <c r="B2" s="2"/>
      <c r="C2" s="2"/>
      <c r="D2" s="2"/>
      <c r="E2" s="2"/>
      <c r="F2" s="2"/>
      <c r="G2" s="2"/>
      <c r="H2" s="2"/>
      <c r="I2" s="2"/>
      <c r="J2" s="2"/>
      <c r="K2" s="2"/>
      <c r="L2" s="2"/>
      <c r="M2" s="2"/>
      <c r="N2" s="2"/>
      <c r="O2" s="2"/>
    </row>
    <row r="3" spans="1:15" x14ac:dyDescent="0.35">
      <c r="A3" s="2"/>
      <c r="B3" s="2"/>
      <c r="C3" s="2"/>
      <c r="D3" s="2"/>
      <c r="E3" s="2"/>
      <c r="F3" s="2"/>
      <c r="G3" s="2"/>
      <c r="H3" s="2"/>
      <c r="I3" s="2"/>
      <c r="J3" s="2"/>
      <c r="K3" s="2"/>
      <c r="L3" s="2"/>
      <c r="M3" s="2"/>
      <c r="N3" s="2"/>
      <c r="O3" s="2"/>
    </row>
    <row r="4" spans="1:15" x14ac:dyDescent="0.35">
      <c r="A4" s="2"/>
      <c r="B4" s="2"/>
      <c r="C4" s="2"/>
      <c r="D4" s="2"/>
      <c r="E4" s="2"/>
      <c r="F4" s="2"/>
      <c r="G4" s="2"/>
      <c r="H4" s="2"/>
      <c r="I4" s="2"/>
      <c r="J4" s="2"/>
      <c r="K4" s="2"/>
      <c r="L4" s="2"/>
      <c r="M4" s="2"/>
      <c r="N4" s="2"/>
      <c r="O4" s="2"/>
    </row>
    <row r="5" spans="1:15" x14ac:dyDescent="0.35">
      <c r="A5" s="2"/>
      <c r="B5" s="2"/>
      <c r="C5" s="2"/>
      <c r="D5" s="2"/>
      <c r="E5" s="2"/>
      <c r="F5" s="2"/>
      <c r="G5" s="2"/>
      <c r="H5" s="2"/>
      <c r="I5" s="2"/>
      <c r="J5" s="2"/>
      <c r="K5" s="2"/>
      <c r="L5" s="2"/>
      <c r="M5" s="2"/>
      <c r="N5" s="2"/>
      <c r="O5" s="2"/>
    </row>
    <row r="6" spans="1:15" x14ac:dyDescent="0.35">
      <c r="A6" s="2"/>
      <c r="B6" s="2"/>
      <c r="C6" s="2"/>
      <c r="D6" s="2"/>
      <c r="E6" s="2"/>
      <c r="F6" s="2"/>
      <c r="G6" s="2"/>
      <c r="H6" s="2"/>
      <c r="I6" s="2"/>
      <c r="J6" s="2"/>
      <c r="K6" s="2"/>
      <c r="L6" s="2"/>
      <c r="M6" s="2"/>
      <c r="N6" s="2"/>
      <c r="O6" s="2"/>
    </row>
    <row r="7" spans="1:15" x14ac:dyDescent="0.35">
      <c r="A7" s="2"/>
      <c r="B7" s="2"/>
      <c r="C7" s="2"/>
      <c r="D7" s="2"/>
      <c r="E7" s="2"/>
      <c r="F7" s="2"/>
      <c r="G7" s="2"/>
      <c r="H7" s="2"/>
      <c r="I7" s="2"/>
      <c r="J7" s="2"/>
      <c r="K7" s="2"/>
      <c r="L7" s="2"/>
      <c r="M7" s="2"/>
      <c r="N7" s="2"/>
      <c r="O7" s="2"/>
    </row>
    <row r="8" spans="1:15" x14ac:dyDescent="0.35">
      <c r="A8" s="2"/>
      <c r="B8" s="2"/>
      <c r="C8" s="2"/>
      <c r="D8" s="2"/>
      <c r="E8" s="2"/>
      <c r="F8" s="2"/>
      <c r="G8" s="2"/>
      <c r="H8" s="2"/>
      <c r="I8" s="2"/>
      <c r="J8" s="2"/>
      <c r="K8" s="2"/>
      <c r="L8" s="2"/>
      <c r="M8" s="2"/>
      <c r="N8" s="2"/>
      <c r="O8" s="2"/>
    </row>
    <row r="9" spans="1:15" x14ac:dyDescent="0.35">
      <c r="A9" s="2"/>
      <c r="B9" s="2"/>
      <c r="C9" s="2"/>
      <c r="D9" s="2"/>
      <c r="E9" s="2"/>
      <c r="F9" s="2"/>
      <c r="G9" s="2"/>
      <c r="H9" s="2"/>
      <c r="I9" s="2"/>
      <c r="J9" s="2"/>
      <c r="K9" s="2"/>
      <c r="L9" s="2"/>
      <c r="M9" s="2"/>
      <c r="N9" s="2"/>
      <c r="O9" s="2"/>
    </row>
    <row r="10" spans="1:15" x14ac:dyDescent="0.35">
      <c r="A10" s="2"/>
      <c r="B10" s="2"/>
      <c r="C10" s="2"/>
      <c r="D10" s="2"/>
      <c r="E10" s="2"/>
      <c r="F10" s="2"/>
      <c r="G10" s="2"/>
      <c r="H10" s="2"/>
      <c r="I10" s="2"/>
      <c r="J10" s="2"/>
      <c r="K10" s="2"/>
      <c r="L10" s="2"/>
      <c r="M10" s="2"/>
      <c r="N10" s="2"/>
      <c r="O10" s="2"/>
    </row>
    <row r="11" spans="1:15" x14ac:dyDescent="0.35">
      <c r="A11" s="2"/>
      <c r="B11" s="2"/>
      <c r="C11" s="2"/>
      <c r="D11" s="2"/>
      <c r="E11" s="2"/>
      <c r="F11" s="2"/>
      <c r="G11" s="2"/>
      <c r="H11" s="2"/>
      <c r="I11" s="2"/>
      <c r="J11" s="2"/>
      <c r="K11" s="2"/>
      <c r="L11" s="2"/>
      <c r="M11" s="2"/>
      <c r="N11" s="2"/>
      <c r="O11" s="2"/>
    </row>
    <row r="12" spans="1:15" x14ac:dyDescent="0.35">
      <c r="A12" s="2"/>
      <c r="B12" s="2"/>
      <c r="C12" s="2"/>
      <c r="D12" s="2"/>
      <c r="E12" s="2"/>
      <c r="F12" s="2"/>
      <c r="G12" s="2"/>
      <c r="H12" s="2"/>
      <c r="I12" s="2"/>
      <c r="J12" s="2"/>
      <c r="K12" s="2"/>
      <c r="L12" s="2"/>
      <c r="M12" s="2"/>
      <c r="N12" s="2"/>
      <c r="O12" s="2"/>
    </row>
    <row r="13" spans="1:15" x14ac:dyDescent="0.35">
      <c r="A13" s="2"/>
      <c r="B13" s="2"/>
      <c r="C13" s="2"/>
      <c r="D13" s="2"/>
      <c r="E13" s="2"/>
      <c r="F13" s="2"/>
      <c r="G13" s="2"/>
      <c r="H13" s="2"/>
      <c r="I13" s="2"/>
      <c r="J13" s="2"/>
      <c r="K13" s="2"/>
      <c r="L13" s="2"/>
      <c r="M13" s="2"/>
      <c r="N13" s="2"/>
      <c r="O13" s="2"/>
    </row>
    <row r="14" spans="1:15" x14ac:dyDescent="0.35">
      <c r="A14" s="2"/>
      <c r="B14" s="2"/>
      <c r="C14" s="2"/>
      <c r="D14" s="2"/>
      <c r="E14" s="2"/>
      <c r="F14" s="2"/>
      <c r="G14" s="2"/>
      <c r="H14" s="2"/>
      <c r="I14" s="2"/>
      <c r="J14" s="2"/>
      <c r="K14" s="2"/>
      <c r="L14" s="2"/>
      <c r="M14" s="2"/>
      <c r="N14" s="2"/>
      <c r="O14" s="2"/>
    </row>
    <row r="15" spans="1:15" x14ac:dyDescent="0.35">
      <c r="A15" s="2"/>
      <c r="B15" s="2"/>
      <c r="C15" s="2"/>
      <c r="D15" s="2"/>
      <c r="E15" s="2"/>
      <c r="F15" s="2"/>
      <c r="G15" s="2"/>
      <c r="H15" s="2"/>
      <c r="I15" s="2"/>
      <c r="J15" s="2"/>
      <c r="K15" s="2"/>
      <c r="L15" s="2"/>
      <c r="M15" s="2"/>
      <c r="N15" s="2"/>
      <c r="O15" s="2"/>
    </row>
    <row r="16" spans="1:15" x14ac:dyDescent="0.35">
      <c r="A16" s="2"/>
      <c r="B16" s="2"/>
      <c r="C16" s="2"/>
      <c r="D16" s="2"/>
      <c r="E16" s="2"/>
      <c r="F16" s="2"/>
      <c r="G16" s="2"/>
      <c r="H16" s="2"/>
      <c r="I16" s="2"/>
      <c r="J16" s="2"/>
      <c r="K16" s="2"/>
      <c r="L16" s="2"/>
      <c r="M16" s="2"/>
      <c r="N16" s="2"/>
      <c r="O16" s="2"/>
    </row>
    <row r="17" spans="1:15" x14ac:dyDescent="0.35">
      <c r="A17" s="2"/>
      <c r="B17" s="2"/>
      <c r="C17" s="2"/>
      <c r="D17" s="2"/>
      <c r="E17" s="2"/>
      <c r="F17" s="2"/>
      <c r="G17" s="2"/>
      <c r="H17" s="2"/>
      <c r="I17" s="2"/>
      <c r="J17" s="2"/>
      <c r="K17" s="2"/>
      <c r="L17" s="2"/>
      <c r="M17" s="2"/>
      <c r="N17" s="2"/>
      <c r="O17" s="2"/>
    </row>
    <row r="18" spans="1:15" x14ac:dyDescent="0.35">
      <c r="A18" s="2"/>
      <c r="B18" s="2"/>
      <c r="C18" s="2"/>
      <c r="D18" s="2"/>
      <c r="E18" s="2"/>
      <c r="F18" s="2"/>
      <c r="G18" s="2"/>
      <c r="H18" s="2"/>
      <c r="I18" s="2"/>
      <c r="J18" s="2"/>
      <c r="K18" s="2"/>
      <c r="L18" s="2"/>
      <c r="M18" s="2"/>
      <c r="N18" s="2"/>
      <c r="O18" s="2"/>
    </row>
    <row r="19" spans="1:15" x14ac:dyDescent="0.35">
      <c r="A19" s="2"/>
      <c r="B19" s="2"/>
      <c r="C19" s="2"/>
      <c r="D19" s="2"/>
      <c r="E19" s="2"/>
      <c r="F19" s="2"/>
      <c r="G19" s="2"/>
      <c r="H19" s="2"/>
      <c r="I19" s="2"/>
      <c r="J19" s="2"/>
      <c r="K19" s="2"/>
      <c r="L19" s="2"/>
      <c r="M19" s="2"/>
      <c r="N19" s="2"/>
      <c r="O19" s="2"/>
    </row>
    <row r="20" spans="1:15" x14ac:dyDescent="0.35">
      <c r="A20" s="2"/>
      <c r="B20" s="2"/>
      <c r="C20" s="2"/>
      <c r="D20" s="2"/>
      <c r="E20" s="2"/>
      <c r="F20" s="2"/>
      <c r="G20" s="2"/>
      <c r="H20" s="2"/>
      <c r="I20" s="2"/>
      <c r="J20" s="2"/>
      <c r="K20" s="2"/>
      <c r="L20" s="2"/>
      <c r="M20" s="2"/>
      <c r="N20" s="2"/>
      <c r="O20" s="2"/>
    </row>
    <row r="21" spans="1:15" x14ac:dyDescent="0.35">
      <c r="A21" s="2"/>
      <c r="B21" s="2"/>
      <c r="C21" s="2"/>
      <c r="D21" s="2"/>
      <c r="E21" s="2"/>
      <c r="F21" s="2"/>
      <c r="G21" s="2"/>
      <c r="H21" s="2"/>
      <c r="I21" s="2"/>
      <c r="J21" s="2"/>
      <c r="K21" s="2"/>
      <c r="L21" s="2"/>
      <c r="M21" s="2"/>
      <c r="N21" s="2"/>
      <c r="O21" s="2"/>
    </row>
    <row r="22" spans="1:15" x14ac:dyDescent="0.35">
      <c r="A22" s="2"/>
      <c r="B22" s="2"/>
      <c r="C22" s="2"/>
      <c r="D22" s="2"/>
      <c r="E22" s="2"/>
      <c r="F22" s="2"/>
      <c r="G22" s="2"/>
      <c r="H22" s="2"/>
      <c r="I22" s="2"/>
      <c r="J22" s="2"/>
      <c r="K22" s="2"/>
      <c r="L22" s="2"/>
      <c r="M22" s="2"/>
      <c r="N22" s="2"/>
      <c r="O22" s="2"/>
    </row>
    <row r="23" spans="1:15" x14ac:dyDescent="0.35">
      <c r="A23" s="2"/>
      <c r="B23" s="2"/>
      <c r="C23" s="2"/>
      <c r="D23" s="2"/>
      <c r="E23" s="2"/>
      <c r="F23" s="2"/>
      <c r="G23" s="2"/>
      <c r="H23" s="2"/>
      <c r="I23" s="2"/>
      <c r="J23" s="2"/>
      <c r="K23" s="2"/>
      <c r="L23" s="2"/>
      <c r="M23" s="2"/>
      <c r="N23" s="2"/>
      <c r="O23" s="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CBBCF432-5651-4FB3-8F1F-FCEF00F16C5E}">
  <ds:schemaRefs/>
</ds:datastoreItem>
</file>

<file path=customXml/itemProps2.xml><?xml version="1.0" encoding="utf-8"?>
<ds:datastoreItem xmlns:ds="http://schemas.openxmlformats.org/officeDocument/2006/customXml" ds:itemID="{8F4DC01B-BC06-43F6-B340-3E4688EC0698}">
  <ds:schemaRefs/>
</ds:datastoreItem>
</file>

<file path=customXml/itemProps3.xml><?xml version="1.0" encoding="utf-8"?>
<ds:datastoreItem xmlns:ds="http://schemas.openxmlformats.org/officeDocument/2006/customXml" ds:itemID="{D43A1EE2-DC29-4C98-ACAC-79FCED81DBFC}">
  <ds:schemaRefs/>
</ds:datastoreItem>
</file>

<file path=customXml/itemProps4.xml><?xml version="1.0" encoding="utf-8"?>
<ds:datastoreItem xmlns:ds="http://schemas.openxmlformats.org/officeDocument/2006/customXml" ds:itemID="{05D8F9C1-BE30-4CDB-A40B-B65C1C805455}">
  <ds:schemaRefs/>
</ds:datastoreItem>
</file>

<file path=customXml/itemProps5.xml><?xml version="1.0" encoding="utf-8"?>
<ds:datastoreItem xmlns:ds="http://schemas.openxmlformats.org/officeDocument/2006/customXml" ds:itemID="{91927482-C978-47AC-8E02-BCD2F2454F1A}">
  <ds:schemaRefs/>
</ds:datastoreItem>
</file>

<file path=customXml/itemProps6.xml><?xml version="1.0" encoding="utf-8"?>
<ds:datastoreItem xmlns:ds="http://schemas.openxmlformats.org/officeDocument/2006/customXml" ds:itemID="{B5965279-75A2-44B0-87F8-FA6DC380791F}">
  <ds:schemaRefs/>
</ds:datastoreItem>
</file>

<file path=customXml/itemProps7.xml><?xml version="1.0" encoding="utf-8"?>
<ds:datastoreItem xmlns:ds="http://schemas.openxmlformats.org/officeDocument/2006/customXml" ds:itemID="{EB3C54DE-05B7-43DE-8455-0D233F6291C1}">
  <ds:schemaRefs/>
</ds:datastoreItem>
</file>

<file path=customXml/itemProps8.xml><?xml version="1.0" encoding="utf-8"?>
<ds:datastoreItem xmlns:ds="http://schemas.openxmlformats.org/officeDocument/2006/customXml" ds:itemID="{9F8D0816-7A8E-415A-9484-A69F8EB22651}">
  <ds:schemaRefs/>
</ds:datastoreItem>
</file>

<file path=customXml/itemProps9.xml><?xml version="1.0" encoding="utf-8"?>
<ds:datastoreItem xmlns:ds="http://schemas.openxmlformats.org/officeDocument/2006/customXml" ds:itemID="{2E8F3075-83E3-4B5E-8243-AFA82B451A4F}">
  <ds:schemaRefs/>
</ds:datastoreItem>
</file>

<file path=customXml/itemProps10.xml><?xml version="1.0" encoding="utf-8"?>
<ds:datastoreItem xmlns:ds="http://schemas.openxmlformats.org/officeDocument/2006/customXml" ds:itemID="{0DA8060E-458E-4591-A135-7EAD42898A94}">
  <ds:schemaRefs/>
</ds:datastoreItem>
</file>

<file path=customXml/itemProps11.xml><?xml version="1.0" encoding="utf-8"?>
<ds:datastoreItem xmlns:ds="http://schemas.openxmlformats.org/officeDocument/2006/customXml" ds:itemID="{5519DD8F-2273-4BC4-8900-BEF8FE1E7375}">
  <ds:schemaRefs/>
</ds:datastoreItem>
</file>

<file path=customXml/itemProps12.xml><?xml version="1.0" encoding="utf-8"?>
<ds:datastoreItem xmlns:ds="http://schemas.openxmlformats.org/officeDocument/2006/customXml" ds:itemID="{81934413-EDE7-4944-95F2-C7F04E53F9CE}">
  <ds:schemaRefs/>
</ds:datastoreItem>
</file>

<file path=customXml/itemProps13.xml><?xml version="1.0" encoding="utf-8"?>
<ds:datastoreItem xmlns:ds="http://schemas.openxmlformats.org/officeDocument/2006/customXml" ds:itemID="{E9D06B2F-B87A-48F4-AB47-2539823A47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 wait time daily trend</vt:lpstr>
      <vt:lpstr>Satisfaction score daily trend</vt:lpstr>
      <vt:lpstr>Dashboard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Kumar Yadav</dc:creator>
  <cp:lastModifiedBy>Ayush Kumar Yadav</cp:lastModifiedBy>
  <dcterms:created xsi:type="dcterms:W3CDTF">2026-03-07T09:40:34Z</dcterms:created>
  <dcterms:modified xsi:type="dcterms:W3CDTF">2026-03-08T11:31:11Z</dcterms:modified>
</cp:coreProperties>
</file>